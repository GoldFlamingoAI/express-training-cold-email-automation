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594fa1bb6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QUEUE" sheetId="1" r:id="R40aa3de792b0452d"/>
    <x:sheet xmlns:r="http://schemas.openxmlformats.org/officeDocument/2006/relationships" name="APOLLO_59" sheetId="2" r:id="R11fb02f0350a432b"/>
    <x:sheet xmlns:r="http://schemas.openxmlformats.org/officeDocument/2006/relationships" name="PROSPEO_70" sheetId="3" r:id="R232a2a7737c54d9e"/>
    <x:sheet xmlns:r="http://schemas.openxmlformats.org/officeDocument/2006/relationships" name="SKRAPP_50" sheetId="4" r:id="Rd3aa36e6d4834e6c"/>
    <x:sheet xmlns:r="http://schemas.openxmlformats.org/officeDocument/2006/relationships" name="SNOV_50" sheetId="5" r:id="R4ee19231bf4b42a9"/>
    <x:sheet xmlns:r="http://schemas.openxmlformats.org/officeDocument/2006/relationships" name="TARGETING_RULES" sheetId="6" r:id="R2935061b67c5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sz val="11"/>
      <x:color rgb="FF123C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E8F1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  <x:dxfs count="35"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color rgb="FF475467"/>
      </x:font>
      <x:fill>
        <x:patternFill patternType="solid">
          <x:bgColor rgb="FFF2F4F7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344054"/>
      </x:font>
      <x:fill>
        <x:patternFill patternType="solid">
          <x:bgColor rgb="FFE4E7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color rgb="FF475467"/>
      </x:font>
      <x:fill>
        <x:patternFill patternType="solid">
          <x:bgColor rgb="FFF2F4F7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344054"/>
      </x:font>
      <x:fill>
        <x:patternFill patternType="solid">
          <x:bgColor rgb="FFE4E7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color rgb="FF475467"/>
      </x:font>
      <x:fill>
        <x:patternFill patternType="solid">
          <x:bgColor rgb="FFF2F4F7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344054"/>
      </x:font>
      <x:fill>
        <x:patternFill patternType="solid">
          <x:bgColor rgb="FFE4E7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color rgb="FF475467"/>
      </x:font>
      <x:fill>
        <x:patternFill patternType="solid">
          <x:bgColor rgb="FFF2F4F7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344054"/>
      </x:font>
      <x:fill>
        <x:patternFill patternType="solid">
          <x:bgColor rgb="FFE4E7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color rgb="FF475467"/>
      </x:font>
      <x:fill>
        <x:patternFill patternType="solid">
          <x:bgColor rgb="FFF2F4F7"/>
        </x:patternFill>
      </x:fill>
    </x:dxf>
    <x:dxf>
      <x:font>
        <x:color rgb="FF854A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344054"/>
      </x:font>
      <x:fill>
        <x:patternFill patternType="solid">
          <x:bgColor rgb="FFE4E7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13b1ed22649a5" /><Relationship Type="http://schemas.openxmlformats.org/officeDocument/2006/relationships/theme" Target="/xl/theme/theme1.xml" Id="R9d34175b42e94f40" /><Relationship Type="http://schemas.openxmlformats.org/officeDocument/2006/relationships/sharedStrings" Target="/xl/sharedStrings.xml" Id="R81bb277404654005" /><Relationship Type="http://schemas.openxmlformats.org/officeDocument/2006/relationships/worksheet" Target="/xl/worksheets/sheet1.xml" Id="R40aa3de792b0452d" /><Relationship Type="http://schemas.openxmlformats.org/officeDocument/2006/relationships/worksheet" Target="/xl/worksheets/sheet2.xml" Id="R11fb02f0350a432b" /><Relationship Type="http://schemas.openxmlformats.org/officeDocument/2006/relationships/worksheet" Target="/xl/worksheets/sheet3.xml" Id="R232a2a7737c54d9e" /><Relationship Type="http://schemas.openxmlformats.org/officeDocument/2006/relationships/worksheet" Target="/xl/worksheets/sheet4.xml" Id="Rd3aa36e6d4834e6c" /><Relationship Type="http://schemas.openxmlformats.org/officeDocument/2006/relationships/worksheet" Target="/xl/worksheets/sheet5.xml" Id="R4ee19231bf4b42a9" /><Relationship Type="http://schemas.openxmlformats.org/officeDocument/2006/relationships/worksheet" Target="/xl/worksheets/sheet6.xml" Id="R2935061b67c549a0" /></Relationships>
</file>

<file path=xl/tables/table1.xml><?xml version="1.0" encoding="utf-8"?>
<x:table xmlns:x="http://schemas.openxmlformats.org/spreadsheetml/2006/main" id="2" name="MasterQueueTable" displayName="MasterQueueTable" ref="A1:K230" headerRowCount="1" totalsRowCount="0" totalsRowShown="0">
  <x:tableColumns count="11">
    <x:tableColumn id="1" name="company"/>
    <x:tableColumn id="2" name="industry"/>
    <x:tableColumn id="3" name="linkedinEmployeeCount"/>
    <x:tableColumn id="4" name="linkedInCompanySize"/>
    <x:tableColumn id="5" name="linkedInUrl"/>
    <x:tableColumn id="6" name="website"/>
    <x:tableColumn id="7" name="city"/>
    <x:tableColumn id="8" name="assignedTool"/>
    <x:tableColumn id="9" name="reviewStatus"/>
    <x:tableColumn id="10" name="targetingTrack"/>
    <x:tableColumn id="11" name="targetTitle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polloQueueTable" displayName="ApolloQueueTable" ref="A1:K60" headerRowCount="1" totalsRowCount="0" totalsRowShown="0">
  <x:tableColumns count="11">
    <x:tableColumn id="1" name="company"/>
    <x:tableColumn id="2" name="industry"/>
    <x:tableColumn id="3" name="linkedinEmployeeCount"/>
    <x:tableColumn id="4" name="linkedInCompanySize"/>
    <x:tableColumn id="5" name="linkedInUrl"/>
    <x:tableColumn id="6" name="website"/>
    <x:tableColumn id="7" name="city"/>
    <x:tableColumn id="8" name="assignedTool"/>
    <x:tableColumn id="9" name="reviewStatus"/>
    <x:tableColumn id="10" name="targetingTrack"/>
    <x:tableColumn id="11" name="targetTitle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rospeoQueueTable" displayName="ProspeoQueueTable" ref="A1:K71" headerRowCount="1" totalsRowCount="0" totalsRowShown="0">
  <x:tableColumns count="11">
    <x:tableColumn id="1" name="company"/>
    <x:tableColumn id="2" name="industry"/>
    <x:tableColumn id="3" name="linkedinEmployeeCount"/>
    <x:tableColumn id="4" name="linkedInCompanySize"/>
    <x:tableColumn id="5" name="linkedInUrl"/>
    <x:tableColumn id="6" name="website"/>
    <x:tableColumn id="7" name="city"/>
    <x:tableColumn id="8" name="assignedTool"/>
    <x:tableColumn id="9" name="reviewStatus"/>
    <x:tableColumn id="10" name="targetingTrack"/>
    <x:tableColumn id="11" name="targetTitle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krappQueueTable" displayName="SkrappQueueTable" ref="A1:K51" headerRowCount="1" totalsRowCount="0" totalsRowShown="0">
  <x:tableColumns count="11">
    <x:tableColumn id="1" name="company"/>
    <x:tableColumn id="2" name="industry"/>
    <x:tableColumn id="3" name="linkedinEmployeeCount"/>
    <x:tableColumn id="4" name="linkedInCompanySize"/>
    <x:tableColumn id="5" name="linkedInUrl"/>
    <x:tableColumn id="6" name="website"/>
    <x:tableColumn id="7" name="city"/>
    <x:tableColumn id="8" name="assignedTool"/>
    <x:tableColumn id="9" name="reviewStatus"/>
    <x:tableColumn id="10" name="targetingTrack"/>
    <x:tableColumn id="11" name="targetTitle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novQueueTable" displayName="SnovQueueTable" ref="A1:K51" headerRowCount="1" totalsRowCount="0" totalsRowShown="0">
  <x:tableColumns count="11">
    <x:tableColumn id="1" name="company"/>
    <x:tableColumn id="2" name="industry"/>
    <x:tableColumn id="3" name="linkedinEmployeeCount"/>
    <x:tableColumn id="4" name="linkedInCompanySize"/>
    <x:tableColumn id="5" name="linkedInUrl"/>
    <x:tableColumn id="6" name="website"/>
    <x:tableColumn id="7" name="city"/>
    <x:tableColumn id="8" name="assignedTool"/>
    <x:tableColumn id="9" name="reviewStatus"/>
    <x:tableColumn id="10" name="targetingTrack"/>
    <x:tableColumn id="11" name="targetTitle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TargetingRulesTable" displayName="TargetingRulesTable" ref="A5:E55" headerRowCount="1" totalsRowCount="0" totalsRowShown="0">
  <x:tableColumns count="5">
    <x:tableColumn id="1" name="targetingTrack"/>
    <x:tableColumn id="2" name="sizeTier"/>
    <x:tableColumn id="3" name="industryTrack"/>
    <x:tableColumn id="4" name="targetTitlePriority"/>
    <x:tableColumn id="5" name="rule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6b2b9b20af4d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fe8247173846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142330649e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44fc584087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4adf339c124f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2477b6592db4b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5" hidden="0" customWidth="1"/>
    <x:col min="3" max="3" width="21" hidden="0" customWidth="1"/>
    <x:col min="4" max="4" width="22" hidden="0" customWidth="1"/>
    <x:col min="5" max="5" width="52" hidden="0" customWidth="1"/>
    <x:col min="6" max="6" width="42" hidden="0" customWidth="1"/>
    <x:col min="7" max="7" width="20" hidden="0" customWidth="1"/>
    <x:col min="8" max="8" width="17" hidden="0" customWidth="1"/>
    <x:col min="9" max="9" width="19" hidden="0" customWidth="1"/>
    <x:col min="10" max="10" width="34" hidden="0" customWidth="1"/>
    <x:col min="11" max="11" width="92" hidden="0" customWidth="1"/>
  </x:cols>
  <x:sheetData>
    <x:row r="1" ht="30" customHeight="1">
      <x:c r="A1" t="str">
        <x:v>company</x:v>
      </x:c>
      <x:c r="B1" t="str">
        <x:v>industry</x:v>
      </x:c>
      <x:c r="C1" t="str">
        <x:v>linkedinEmployeeCount</x:v>
      </x:c>
      <x:c r="D1" t="str">
        <x:v>linkedInCompanySize</x:v>
      </x:c>
      <x:c r="E1" t="str">
        <x:v>linkedInUrl</x:v>
      </x:c>
      <x:c r="F1" t="str">
        <x:v>website</x:v>
      </x:c>
      <x:c r="G1" t="str">
        <x:v>city</x:v>
      </x:c>
      <x:c r="H1" t="str">
        <x:v>assignedTool</x:v>
      </x:c>
      <x:c r="I1" t="str">
        <x:v>reviewStatus</x:v>
      </x:c>
      <x:c r="J1" t="str">
        <x:v>targetingTrack</x:v>
      </x:c>
      <x:c r="K1" t="str">
        <x:v>targetTitlePriority</x:v>
      </x:c>
    </x:row>
    <x:row r="2" ht="42" customHeight="1">
      <x:c r="A2" t="str">
        <x:v>101 Federal Street, LLC</x:v>
      </x:c>
      <x:c r="B2" t="str">
        <x:v>Commercial Real Estate</x:v>
      </x:c>
      <x:c r="C2" s="12" t="str">
        <x:v>Not verified</x:v>
      </x:c>
      <x:c r="D2" s="13" t="str">
        <x:v>Not verified</x:v>
      </x:c>
      <x:c r="E2" s="7" t="str">
        <x:v>Not verified</x:v>
      </x:c>
      <x:c r="F2" s="7" t="str">
        <x:v>Not verified</x:v>
      </x:c>
      <x:c r="G2" t="str">
        <x:v>Boston</x:v>
      </x:c>
      <x:c r="H2" s="8" t="str">
        <x:v>Apollo</x:v>
      </x:c>
      <x:c r="I2" s="8" t="str">
        <x:v>Not Started</x:v>
      </x:c>
      <x:c r="J2" s="8" t="str">
        <x:v>UNKNOWN_REAL_ESTATE_FACILITIES</x:v>
      </x:c>
      <x:c r="K2" s="7" t="str">
        <x:f>IFERROR(VLOOKUP(J2,'TARGETING_RULES'!$A$6:$D$55,4,FALSE),"")</x:f>
        <x:v>Owner &gt; President &gt; CEO &gt; Property Manager &gt; Facilities Director &gt; Operations Director &gt; HR Director</x:v>
      </x:c>
    </x:row>
    <x:row r="3" ht="42" customHeight="1">
      <x:c r="A3" t="str">
        <x:v>11 Compliance Consulting Corp</x:v>
      </x:c>
      <x:c r="B3" t="str">
        <x:v>Financial Compliance Consulting</x:v>
      </x:c>
      <x:c r="C3" s="12" t="n">
        <x:v>7</x:v>
      </x:c>
      <x:c r="D3" s="13" t="str">
        <x:v>11-50</x:v>
      </x:c>
      <x:c r="E3" s="7" t="str">
        <x:v>https://www.linkedin.com/company/11-compliance-consulting</x:v>
      </x:c>
      <x:c r="F3" s="7" t="str">
        <x:v>https://www.11compliance.com/</x:v>
      </x:c>
      <x:c r="G3" t="str">
        <x:v>Swansea</x:v>
      </x:c>
      <x:c r="H3" s="8" t="str">
        <x:v>Apollo</x:v>
      </x:c>
      <x:c r="I3" s="8" t="str">
        <x:v>Not Started</x:v>
      </x:c>
      <x:c r="J3" s="8" t="str">
        <x:v>SMALL_FINANCIAL_SERVICES</x:v>
      </x:c>
      <x:c r="K3" s="7" t="str">
        <x:f>IFERROR(VLOOKUP(J3,'TARGETING_RULES'!$A$6:$D$55,4,FALSE),"")</x:f>
        <x:v>Owner &gt; Founder &gt; Co-Founder &gt; President &gt; CEO &gt; Managing Partner &gt; COO &gt; HR Manager &gt; Training Manager</x:v>
      </x:c>
    </x:row>
    <x:row r="4" ht="42" customHeight="1">
      <x:c r="A4" t="str">
        <x:v>12 Penny Exteriors, Inc.</x:v>
      </x:c>
      <x:c r="B4" t="str">
        <x:v>Roofing &amp; Exterior Construction</x:v>
      </x:c>
      <x:c r="C4" s="12" t="str">
        <x:v>Not verified</x:v>
      </x:c>
      <x:c r="D4" s="13" t="str">
        <x:v>Not verified</x:v>
      </x:c>
      <x:c r="E4" s="7" t="str">
        <x:v>Not verified</x:v>
      </x:c>
      <x:c r="F4" s="7" t="str">
        <x:v>https://12penny.com/</x:v>
      </x:c>
      <x:c r="G4" t="str">
        <x:v>Littleton</x:v>
      </x:c>
      <x:c r="H4" s="8" t="str">
        <x:v>Apollo</x:v>
      </x:c>
      <x:c r="I4" s="8" t="str">
        <x:v>Not Started</x:v>
      </x:c>
      <x:c r="J4" s="8" t="str">
        <x:v>UNKNOWN_CONSTRUCTION_TRADES</x:v>
      </x:c>
      <x:c r="K4" s="7" t="str">
        <x:f>IFERROR(VLOOKUP(J4,'TARGETING_RULES'!$A$6:$D$55,4,FALSE),"")</x:f>
        <x:v>Owner &gt; President &gt; CEO &gt; Operations Director &gt; Safety Manager &gt; Training Manager &gt; HR Director</x:v>
      </x:c>
    </x:row>
    <x:row r="5" ht="42" customHeight="1">
      <x:c r="A5" t="str">
        <x:v>1369 LLC</x:v>
      </x:c>
      <x:c r="B5" t="str">
        <x:v>Restaurants &amp; Coffeehouses</x:v>
      </x:c>
      <x:c r="C5" s="12" t="n">
        <x:v>28</x:v>
      </x:c>
      <x:c r="D5" s="13" t="str">
        <x:v>11-50</x:v>
      </x:c>
      <x:c r="E5" s="7" t="str">
        <x:v>https://www.linkedin.com/company/1369-coffeehouse</x:v>
      </x:c>
      <x:c r="F5" s="7" t="str">
        <x:v>http://www.1369coffeehouse.com</x:v>
      </x:c>
      <x:c r="G5" t="str">
        <x:v>Cambridge</x:v>
      </x:c>
      <x:c r="H5" s="8" t="str">
        <x:v>Apollo</x:v>
      </x:c>
      <x:c r="I5" s="8" t="str">
        <x:v>Not Started</x:v>
      </x:c>
      <x:c r="J5" s="8" t="str">
        <x:v>SMALL_HOSPITALITY_RETAIL</x:v>
      </x:c>
      <x:c r="K5" s="7" t="str">
        <x:f>IFERROR(VLOOKUP(J5,'TARGETING_RULES'!$A$6:$D$55,4,FALSE),"")</x:f>
        <x:v>Owner &gt; Founder &gt; Co-Founder &gt; President &gt; CEO &gt; General Manager &gt; Operations Manager &gt; Training Manager &gt; HR Manager</x:v>
      </x:c>
    </x:row>
    <x:row r="6" ht="42" customHeight="1">
      <x:c r="A6" t="str">
        <x:v>23 French King Highway LLC</x:v>
      </x:c>
      <x:c r="B6" t="str">
        <x:v>Commercial Real Estate</x:v>
      </x:c>
      <x:c r="C6" s="12" t="str">
        <x:v>Not verified</x:v>
      </x:c>
      <x:c r="D6" s="13" t="str">
        <x:v>Not verified</x:v>
      </x:c>
      <x:c r="E6" s="7" t="str">
        <x:v>Not verified</x:v>
      </x:c>
      <x:c r="F6" s="7" t="str">
        <x:v>Not verified</x:v>
      </x:c>
      <x:c r="G6" t="str">
        <x:v>Gill</x:v>
      </x:c>
      <x:c r="H6" s="8" t="str">
        <x:v>Apollo</x:v>
      </x:c>
      <x:c r="I6" s="8" t="str">
        <x:v>Not Started</x:v>
      </x:c>
      <x:c r="J6" s="8" t="str">
        <x:v>UNKNOWN_REAL_ESTATE_FACILITIES</x:v>
      </x:c>
      <x:c r="K6" s="7" t="str">
        <x:f>IFERROR(VLOOKUP(J6,'TARGETING_RULES'!$A$6:$D$55,4,FALSE),"")</x:f>
        <x:v>Owner &gt; President &gt; CEO &gt; Property Manager &gt; Facilities Director &gt; Operations Director &gt; HR Director</x:v>
      </x:c>
    </x:row>
    <x:row r="7" ht="42" customHeight="1">
      <x:c r="A7" t="str">
        <x:v>28 Freight LLC</x:v>
      </x:c>
      <x:c r="B7" t="str">
        <x:v>Trucking &amp; Logistics</x:v>
      </x:c>
      <x:c r="C7" s="12" t="n">
        <x:v>29</x:v>
      </x:c>
      <x:c r="D7" s="13" t="str">
        <x:v>11-50</x:v>
      </x:c>
      <x:c r="E7" s="7" t="str">
        <x:v>https://www.linkedin.com/company/28freight-llc</x:v>
      </x:c>
      <x:c r="F7" s="7" t="str">
        <x:v>http://28freight.com</x:v>
      </x:c>
      <x:c r="G7" t="str">
        <x:v>Wilmington</x:v>
      </x:c>
      <x:c r="H7" s="8" t="str">
        <x:v>Apollo</x:v>
      </x:c>
      <x:c r="I7" s="8" t="str">
        <x:v>Not Started</x:v>
      </x:c>
      <x:c r="J7" s="8" t="str">
        <x:v>SMALL_LOGISTICS_OPERATIONS</x:v>
      </x:c>
      <x:c r="K7" s="7" t="str">
        <x:f>IFERROR(VLOOKUP(J7,'TARGETING_RULES'!$A$6:$D$55,4,FALSE),"")</x:f>
        <x:v>Owner &gt; Founder &gt; Co-Founder &gt; President &gt; CEO &gt; General Manager &gt; Operations Manager &gt; Training Manager &gt; Safety Manager &gt; HR Manager</x:v>
      </x:c>
    </x:row>
    <x:row r="8" ht="42" customHeight="1">
      <x:c r="A8" t="str">
        <x:v>2Gether We Eat Inc</x:v>
      </x:c>
      <x:c r="B8" t="str">
        <x:v>Nonprofit &amp; Food Education</x:v>
      </x:c>
      <x:c r="C8" s="12" t="str">
        <x:v>Not verified</x:v>
      </x:c>
      <x:c r="D8" s="13" t="str">
        <x:v>Not verified</x:v>
      </x:c>
      <x:c r="E8" s="7" t="str">
        <x:v>Not verified</x:v>
      </x:c>
      <x:c r="F8" s="7" t="str">
        <x:v>https://2getherweeat.org/</x:v>
      </x:c>
      <x:c r="G8" t="str">
        <x:v>Worcester</x:v>
      </x:c>
      <x:c r="H8" s="8" t="str">
        <x:v>Apollo</x:v>
      </x:c>
      <x:c r="I8" s="8" t="str">
        <x:v>Not Started</x:v>
      </x:c>
      <x:c r="J8" s="8" t="str">
        <x:v>UNKNOWN_NONPROFIT_SOCIAL</x:v>
      </x:c>
      <x:c r="K8" s="7" t="str">
        <x:f>IFERROR(VLOOKUP(J8,'TARGETING_RULES'!$A$6:$D$55,4,FALSE),"")</x:f>
        <x:v>Executive Director &gt; Founder &gt; President &gt; CEO &gt; Workforce Development Director &gt; Training Director &gt; HR Director</x:v>
      </x:c>
    </x:row>
    <x:row r="9" ht="42" customHeight="1">
      <x:c r="A9" t="str">
        <x:v>3 Media Web Solutions Inc.</x:v>
      </x:c>
      <x:c r="B9" t="str">
        <x:v>Digital Marketing &amp; Web Development</x:v>
      </x:c>
      <x:c r="C9" s="12" t="n">
        <x:v>38</x:v>
      </x:c>
      <x:c r="D9" s="13" t="str">
        <x:v>11-50</x:v>
      </x:c>
      <x:c r="E9" s="7" t="str">
        <x:v>https://www.linkedin.com/company/3-media-web-solutions-inc-</x:v>
      </x:c>
      <x:c r="F9" s="7" t="str">
        <x:v>https://www.3mediaweb.com</x:v>
      </x:c>
      <x:c r="G9" t="str">
        <x:v>Boston</x:v>
      </x:c>
      <x:c r="H9" s="8" t="str">
        <x:v>Apollo</x:v>
      </x:c>
      <x:c r="I9" s="8" t="str">
        <x:v>Not Started</x:v>
      </x:c>
      <x:c r="J9" s="8" t="str">
        <x:v>SMALL_TECH_PROFESSIONAL</x:v>
      </x:c>
      <x:c r="K9" s="7" t="str">
        <x:f>IFERROR(VLOOKUP(J9,'TARGETING_RULES'!$A$6:$D$55,4,FALSE),"")</x:f>
        <x:v>Owner &gt; Founder &gt; Co-Founder &gt; President &gt; CEO &gt; Managing Partner &gt; COO &gt; People Operations Manager &gt; HR Manager</x:v>
      </x:c>
    </x:row>
    <x:row r="10" ht="42" customHeight="1">
      <x:c r="A10" t="str">
        <x:v>4 Insurance LLC</x:v>
      </x:c>
      <x:c r="B10" t="str">
        <x:v>Insurance</x:v>
      </x:c>
      <x:c r="C10" s="12" t="n">
        <x:v>5</x:v>
      </x:c>
      <x:c r="D10" s="13" t="str">
        <x:v>2-10</x:v>
      </x:c>
      <x:c r="E10" s="7" t="str">
        <x:v>https://www.linkedin.com/company/4-insurance-llc</x:v>
      </x:c>
      <x:c r="F10" s="7" t="str">
        <x:v>https://4insurancellc.com/</x:v>
      </x:c>
      <x:c r="G10" t="str">
        <x:v>Salem</x:v>
      </x:c>
      <x:c r="H10" s="8" t="str">
        <x:v>Apollo</x:v>
      </x:c>
      <x:c r="I10" s="8" t="str">
        <x:v>Not Started</x:v>
      </x:c>
      <x:c r="J10" s="8" t="str">
        <x:v>SMALL_FINANCIAL_SERVICES</x:v>
      </x:c>
      <x:c r="K10" s="7" t="str">
        <x:f>IFERROR(VLOOKUP(J10,'TARGETING_RULES'!$A$6:$D$55,4,FALSE),"")</x:f>
        <x:v>Owner &gt; Founder &gt; Co-Founder &gt; President &gt; CEO &gt; Managing Partner &gt; COO &gt; HR Manager &gt; Training Manager</x:v>
      </x:c>
    </x:row>
    <x:row r="11" ht="42" customHeight="1">
      <x:c r="A11" t="str">
        <x:v>413 Theraworks, LLC.</x:v>
      </x:c>
      <x:c r="B11" t="str">
        <x:v>Physical Therapy &amp; Wellness</x:v>
      </x:c>
      <x:c r="C11" s="12" t="str">
        <x:v>Not verified</x:v>
      </x:c>
      <x:c r="D11" s="13" t="str">
        <x:v>Not verified</x:v>
      </x:c>
      <x:c r="E11" s="7" t="str">
        <x:v>Not verified</x:v>
      </x:c>
      <x:c r="F11" s="7" t="str">
        <x:v>https://413theraworks.com/</x:v>
      </x:c>
      <x:c r="G11" t="str">
        <x:v>North Adams</x:v>
      </x:c>
      <x:c r="H11" s="8" t="str">
        <x:v>Apollo</x:v>
      </x:c>
      <x:c r="I11" s="8" t="str">
        <x:v>Not Started</x:v>
      </x:c>
      <x:c r="J11" s="8" t="str">
        <x:v>UNKNOWN_HEALTHCARE</x:v>
      </x:c>
      <x:c r="K11" s="7" t="str">
        <x:f>IFERROR(VLOOKUP(J11,'TARGETING_RULES'!$A$6:$D$55,4,FALSE),"")</x:f>
        <x:v>Owner &gt; President &gt; CEO &gt; Executive Director &gt; Workforce Development Director &gt; Clinical Education Director &gt; HR Director</x:v>
      </x:c>
    </x:row>
    <x:row r="12" ht="42" customHeight="1">
      <x:c r="A12" t="str">
        <x:v>5th Line Capital, LLC</x:v>
      </x:c>
      <x:c r="B12" t="str">
        <x:v>Business Lending &amp; Financial Services</x:v>
      </x:c>
      <x:c r="C12" s="12" t="str">
        <x:v>Not verified</x:v>
      </x:c>
      <x:c r="D12" s="13" t="str">
        <x:v>Not verified</x:v>
      </x:c>
      <x:c r="E12" s="7" t="str">
        <x:v>Not verified</x:v>
      </x:c>
      <x:c r="F12" s="7" t="str">
        <x:v>https://www.5thline.co/</x:v>
      </x:c>
      <x:c r="G12" t="str">
        <x:v>Boston</x:v>
      </x:c>
      <x:c r="H12" s="8" t="str">
        <x:v>Apollo</x:v>
      </x:c>
      <x:c r="I12" s="8" t="str">
        <x:v>Not Started</x:v>
      </x:c>
      <x:c r="J12" s="8" t="str">
        <x:v>UNKNOWN_FINANCIAL_SERVICES</x:v>
      </x:c>
      <x:c r="K12" s="7" t="str">
        <x:f>IFERROR(VLOOKUP(J12,'TARGETING_RULES'!$A$6:$D$55,4,FALSE),"")</x:f>
        <x:v>Owner &gt; President &gt; CEO &gt; Managing Partner &gt; HR Director &gt; Training Manager &gt; COO</x:v>
      </x:c>
    </x:row>
    <x:row r="13" ht="42" customHeight="1">
      <x:c r="A13" t="str">
        <x:v>A &amp; A Services, Inc.</x:v>
      </x:c>
      <x:c r="B13" t="str">
        <x:v>Home Improvement &amp; Construction</x:v>
      </x:c>
      <x:c r="C13" s="12" t="n">
        <x:v>6</x:v>
      </x:c>
      <x:c r="D13" s="13" t="str">
        <x:v>11-50</x:v>
      </x:c>
      <x:c r="E13" s="7" t="str">
        <x:v>https://www.linkedin.com/company/a%26a-services-home-improvement</x:v>
      </x:c>
      <x:c r="F13" s="7" t="str">
        <x:v>http://www.a-aservices.com</x:v>
      </x:c>
      <x:c r="G13" t="str">
        <x:v>Salem</x:v>
      </x:c>
      <x:c r="H13" s="8" t="str">
        <x:v>Apollo</x:v>
      </x:c>
      <x:c r="I13" s="8" t="str">
        <x:v>Not Started</x:v>
      </x:c>
      <x:c r="J13" s="8" t="str">
        <x:v>SMALL_CONSTRUCTION_TRADES</x:v>
      </x:c>
      <x:c r="K13" s="7" t="str">
        <x:f>IFERROR(VLOOKUP(J13,'TARGETING_RULES'!$A$6:$D$55,4,FALSE),"")</x:f>
        <x:v>Owner &gt; Founder &gt; Co-Founder &gt; President &gt; CEO &gt; Operations Manager &gt; Safety Manager &gt; Training Manager &gt; HR Manager</x:v>
      </x:c>
    </x:row>
    <x:row r="14" ht="42" customHeight="1">
      <x:c r="A14" t="str">
        <x:v>A Concord Carpenter LLC</x:v>
      </x:c>
      <x:c r="B14" t="str">
        <x:v>Residential Construction</x:v>
      </x:c>
      <x:c r="C14" s="12" t="str">
        <x:v>Not verified</x:v>
      </x:c>
      <x:c r="D14" s="13" t="str">
        <x:v>Not verified</x:v>
      </x:c>
      <x:c r="E14" s="7" t="str">
        <x:v>Not verified</x:v>
      </x:c>
      <x:c r="F14" s="7" t="str">
        <x:v>https://www.aconcordcarpenter.com/</x:v>
      </x:c>
      <x:c r="G14" t="str">
        <x:v>Concord</x:v>
      </x:c>
      <x:c r="H14" s="8" t="str">
        <x:v>Apollo</x:v>
      </x:c>
      <x:c r="I14" s="8" t="str">
        <x:v>Not Started</x:v>
      </x:c>
      <x:c r="J14" s="8" t="str">
        <x:v>UNKNOWN_CONSTRUCTION_TRADES</x:v>
      </x:c>
      <x:c r="K14" s="7" t="str">
        <x:f>IFERROR(VLOOKUP(J14,'TARGETING_RULES'!$A$6:$D$55,4,FALSE),"")</x:f>
        <x:v>Owner &gt; President &gt; CEO &gt; Operations Director &gt; Safety Manager &gt; Training Manager &gt; HR Director</x:v>
      </x:c>
    </x:row>
    <x:row r="15" ht="42" customHeight="1">
      <x:c r="A15" t="str">
        <x:v>A&amp;M CONSTRUCTION COMPANY, INC</x:v>
      </x:c>
      <x:c r="B15" t="str">
        <x:v>Construction</x:v>
      </x:c>
      <x:c r="C15" s="12" t="str">
        <x:v>Not verified</x:v>
      </x:c>
      <x:c r="D15" s="13" t="str">
        <x:v>Not verified</x:v>
      </x:c>
      <x:c r="E15" s="7" t="str">
        <x:v>Not verified</x:v>
      </x:c>
      <x:c r="F15" s="7" t="str">
        <x:v>Not verified</x:v>
      </x:c>
      <x:c r="G15" t="str">
        <x:v>Wakefield</x:v>
      </x:c>
      <x:c r="H15" s="8" t="str">
        <x:v>Apollo</x:v>
      </x:c>
      <x:c r="I15" s="8" t="str">
        <x:v>Not Started</x:v>
      </x:c>
      <x:c r="J15" s="8" t="str">
        <x:v>UNKNOWN_CONSTRUCTION_TRADES</x:v>
      </x:c>
      <x:c r="K15" s="7" t="str">
        <x:f>IFERROR(VLOOKUP(J15,'TARGETING_RULES'!$A$6:$D$55,4,FALSE),"")</x:f>
        <x:v>Owner &gt; President &gt; CEO &gt; Operations Director &gt; Safety Manager &gt; Training Manager &gt; HR Director</x:v>
      </x:c>
    </x:row>
    <x:row r="16" ht="42" customHeight="1">
      <x:c r="A16" t="str">
        <x:v>A&amp;M Tool and Die Company INC</x:v>
      </x:c>
      <x:c r="B16" t="str">
        <x:v>Tool &amp; Die Manufacturing</x:v>
      </x:c>
      <x:c r="C16" s="12" t="str">
        <x:v>Not verified</x:v>
      </x:c>
      <x:c r="D16" s="13" t="str">
        <x:v>Not verified</x:v>
      </x:c>
      <x:c r="E16" s="7" t="str">
        <x:v>Not verified</x:v>
      </x:c>
      <x:c r="F16" s="7" t="str">
        <x:v>Not verified</x:v>
      </x:c>
      <x:c r="G16" t="str">
        <x:v>Southbridge</x:v>
      </x:c>
      <x:c r="H16" s="8" t="str">
        <x:v>Apollo</x:v>
      </x:c>
      <x:c r="I16" s="8" t="str">
        <x:v>Not Started</x:v>
      </x:c>
      <x:c r="J16" s="8" t="str">
        <x:v>UNKNOWN_MANUFACTURING</x:v>
      </x:c>
      <x:c r="K16" s="7" t="str">
        <x:f>IFERROR(VLOOKUP(J16,'TARGETING_RULES'!$A$6:$D$55,4,FALSE),"")</x:f>
        <x:v>Owner &gt; President &gt; CEO &gt; Plant Manager &gt; Operations Director &gt; Training Manager &gt; HR Director</x:v>
      </x:c>
    </x:row>
    <x:row r="17" ht="42" customHeight="1">
      <x:c r="A17" t="str">
        <x:v>A&amp;S Dental Wellness Center of Lowell</x:v>
      </x:c>
      <x:c r="B17" t="str">
        <x:v>Dental Services</x:v>
      </x:c>
      <x:c r="C17" s="12" t="str">
        <x:v>Not verified</x:v>
      </x:c>
      <x:c r="D17" s="13" t="str">
        <x:v>Not verified</x:v>
      </x:c>
      <x:c r="E17" s="7" t="str">
        <x:v>Not verified</x:v>
      </x:c>
      <x:c r="F17" s="7" t="str">
        <x:v>https://lowelldentists.com/</x:v>
      </x:c>
      <x:c r="G17" t="str">
        <x:v>Lowell</x:v>
      </x:c>
      <x:c r="H17" s="8" t="str">
        <x:v>Apollo</x:v>
      </x:c>
      <x:c r="I17" s="8" t="str">
        <x:v>Not Started</x:v>
      </x:c>
      <x:c r="J17" s="8" t="str">
        <x:v>UNKNOWN_HEALTHCARE</x:v>
      </x:c>
      <x:c r="K17" s="7" t="str">
        <x:f>IFERROR(VLOOKUP(J17,'TARGETING_RULES'!$A$6:$D$55,4,FALSE),"")</x:f>
        <x:v>Owner &gt; President &gt; CEO &gt; Executive Director &gt; Workforce Development Director &gt; Clinical Education Director &gt; HR Director</x:v>
      </x:c>
    </x:row>
    <x:row r="18" ht="42" customHeight="1">
      <x:c r="A18" t="str">
        <x:v>A. Wisialko &amp; Company LLC</x:v>
      </x:c>
      <x:c r="B18" t="str">
        <x:v>Accounting &amp; Tax Services</x:v>
      </x:c>
      <x:c r="C18" s="12" t="str">
        <x:v>Not verified</x:v>
      </x:c>
      <x:c r="D18" s="13" t="str">
        <x:v>Not verified</x:v>
      </x:c>
      <x:c r="E18" s="7" t="str">
        <x:v>Not verified</x:v>
      </x:c>
      <x:c r="F18" s="7" t="str">
        <x:v>Not verified</x:v>
      </x:c>
      <x:c r="G18" t="str">
        <x:v>Westwood</x:v>
      </x:c>
      <x:c r="H18" s="8" t="str">
        <x:v>Apollo</x:v>
      </x:c>
      <x:c r="I18" s="8" t="str">
        <x:v>Not Started</x:v>
      </x:c>
      <x:c r="J18" s="8" t="str">
        <x:v>UNKNOWN_FINANCIAL_SERVICES</x:v>
      </x:c>
      <x:c r="K18" s="7" t="str">
        <x:f>IFERROR(VLOOKUP(J18,'TARGETING_RULES'!$A$6:$D$55,4,FALSE),"")</x:f>
        <x:v>Owner &gt; President &gt; CEO &gt; Managing Partner &gt; HR Director &gt; Training Manager &gt; COO</x:v>
      </x:c>
    </x:row>
    <x:row r="19" ht="42" customHeight="1">
      <x:c r="A19" t="str">
        <x:v>A.P.L. SERVICES INC</x:v>
      </x:c>
      <x:c r="B19" t="str">
        <x:v>Amusement Equipment Services</x:v>
      </x:c>
      <x:c r="C19" s="12" t="str">
        <x:v>Not verified</x:v>
      </x:c>
      <x:c r="D19" s="13" t="str">
        <x:v>Not verified</x:v>
      </x:c>
      <x:c r="E19" s="7" t="str">
        <x:v>Not verified</x:v>
      </x:c>
      <x:c r="F19" s="7" t="str">
        <x:v>Not verified</x:v>
      </x:c>
      <x:c r="G19" t="str">
        <x:v>Braintree</x:v>
      </x:c>
      <x:c r="H19" s="8" t="str">
        <x:v>Apollo</x:v>
      </x:c>
      <x:c r="I19" s="8" t="str">
        <x:v>Not Started</x:v>
      </x:c>
      <x:c r="J19" s="8" t="str">
        <x:v>UNKNOWN_HOSPITALITY_RETAIL</x:v>
      </x:c>
      <x:c r="K19" s="7" t="str">
        <x:f>IFERROR(VLOOKUP(J19,'TARGETING_RULES'!$A$6:$D$55,4,FALSE),"")</x:f>
        <x:v>Owner &gt; President &gt; CEO &gt; General Manager &gt; Operations Director &gt; Training Manager &gt; HR Director</x:v>
      </x:c>
    </x:row>
    <x:row r="20" ht="42" customHeight="1">
      <x:c r="A20" t="str">
        <x:v>AAH DENTAL, PLLC</x:v>
      </x:c>
      <x:c r="B20" t="str">
        <x:v>Dental Services</x:v>
      </x:c>
      <x:c r="C20" s="12" t="str">
        <x:v>Not verified</x:v>
      </x:c>
      <x:c r="D20" s="13" t="str">
        <x:v>Not verified</x:v>
      </x:c>
      <x:c r="E20" s="7" t="str">
        <x:v>Not verified</x:v>
      </x:c>
      <x:c r="F20" s="7" t="str">
        <x:v>Not verified</x:v>
      </x:c>
      <x:c r="G20" t="str">
        <x:v>Worcester</x:v>
      </x:c>
      <x:c r="H20" s="8" t="str">
        <x:v>Apollo</x:v>
      </x:c>
      <x:c r="I20" s="8" t="str">
        <x:v>Not Started</x:v>
      </x:c>
      <x:c r="J20" s="8" t="str">
        <x:v>UNKNOWN_HEALTHCARE</x:v>
      </x:c>
      <x:c r="K20" s="7" t="str">
        <x:f>IFERROR(VLOOKUP(J20,'TARGETING_RULES'!$A$6:$D$55,4,FALSE),"")</x:f>
        <x:v>Owner &gt; President &gt; CEO &gt; Executive Director &gt; Workforce Development Director &gt; Clinical Education Director &gt; HR Director</x:v>
      </x:c>
    </x:row>
    <x:row r="21" ht="42" customHeight="1">
      <x:c r="A21" t="str">
        <x:v>Aalanco Service Corp</x:v>
      </x:c>
      <x:c r="B21" t="str">
        <x:v>Commercial HVAC &amp; Mechanical Services</x:v>
      </x:c>
      <x:c r="C21" s="12" t="n">
        <x:v>22</x:v>
      </x:c>
      <x:c r="D21" s="13" t="str">
        <x:v>11-50</x:v>
      </x:c>
      <x:c r="E21" s="7" t="str">
        <x:v>https://www.linkedin.com/company/aalanco-service-corporation</x:v>
      </x:c>
      <x:c r="F21" s="7" t="str">
        <x:v>http://www.aalanco.com</x:v>
      </x:c>
      <x:c r="G21" t="str">
        <x:v>Westborough</x:v>
      </x:c>
      <x:c r="H21" s="8" t="str">
        <x:v>Apollo</x:v>
      </x:c>
      <x:c r="I21" s="8" t="str">
        <x:v>Not Started</x:v>
      </x:c>
      <x:c r="J21" s="8" t="str">
        <x:v>SMALL_CONSTRUCTION_TRADES</x:v>
      </x:c>
      <x:c r="K21" s="7" t="str">
        <x:f>IFERROR(VLOOKUP(J21,'TARGETING_RULES'!$A$6:$D$55,4,FALSE),"")</x:f>
        <x:v>Owner &gt; Founder &gt; Co-Founder &gt; President &gt; CEO &gt; Operations Manager &gt; Safety Manager &gt; Training Manager &gt; HR Manager</x:v>
      </x:c>
    </x:row>
    <x:row r="22" ht="42" customHeight="1">
      <x:c r="A22" t="str">
        <x:v>Aaron Buyack, DMD, PLLC</x:v>
      </x:c>
      <x:c r="B22" t="str">
        <x:v>Dental Services</x:v>
      </x:c>
      <x:c r="C22" s="12" t="str">
        <x:v>Not verified</x:v>
      </x:c>
      <x:c r="D22" s="13" t="str">
        <x:v>Not verified</x:v>
      </x:c>
      <x:c r="E22" s="7" t="str">
        <x:v>Not verified</x:v>
      </x:c>
      <x:c r="F22" s="7" t="str">
        <x:v>Not verified</x:v>
      </x:c>
      <x:c r="G22" t="str">
        <x:v>Pittsfield</x:v>
      </x:c>
      <x:c r="H22" s="8" t="str">
        <x:v>Apollo</x:v>
      </x:c>
      <x:c r="I22" s="8" t="str">
        <x:v>Not Started</x:v>
      </x:c>
      <x:c r="J22" s="8" t="str">
        <x:v>UNKNOWN_HEALTHCARE</x:v>
      </x:c>
      <x:c r="K22" s="7" t="str">
        <x:f>IFERROR(VLOOKUP(J22,'TARGETING_RULES'!$A$6:$D$55,4,FALSE),"")</x:f>
        <x:v>Owner &gt; President &gt; CEO &gt; Executive Director &gt; Workforce Development Director &gt; Clinical Education Director &gt; HR Director</x:v>
      </x:c>
    </x:row>
    <x:row r="23" ht="42" customHeight="1">
      <x:c r="A23" t="str">
        <x:v>Aaron Smith, PC</x:v>
      </x:c>
      <x:c r="B23" t="str">
        <x:v>Accounting &amp; Tax Services</x:v>
      </x:c>
      <x:c r="C23" s="12" t="str">
        <x:v>Not verified</x:v>
      </x:c>
      <x:c r="D23" s="13" t="str">
        <x:v>Not verified</x:v>
      </x:c>
      <x:c r="E23" s="7" t="str">
        <x:v>Not verified</x:v>
      </x:c>
      <x:c r="F23" s="7" t="str">
        <x:v>http://www.aaron-smith-cpa.com</x:v>
      </x:c>
      <x:c r="G23" t="str">
        <x:v>East Longmeadow</x:v>
      </x:c>
      <x:c r="H23" s="8" t="str">
        <x:v>Apollo</x:v>
      </x:c>
      <x:c r="I23" s="8" t="str">
        <x:v>Not Started</x:v>
      </x:c>
      <x:c r="J23" s="8" t="str">
        <x:v>UNKNOWN_FINANCIAL_SERVICES</x:v>
      </x:c>
      <x:c r="K23" s="7" t="str">
        <x:f>IFERROR(VLOOKUP(J23,'TARGETING_RULES'!$A$6:$D$55,4,FALSE),"")</x:f>
        <x:v>Owner &gt; President &gt; CEO &gt; Managing Partner &gt; HR Director &gt; Training Manager &gt; COO</x:v>
      </x:c>
    </x:row>
    <x:row r="24" ht="42" customHeight="1">
      <x:c r="A24" t="str">
        <x:v>Abbott and Company LLC</x:v>
      </x:c>
      <x:c r="B24" t="str">
        <x:v>Accounting &amp; Tax Services</x:v>
      </x:c>
      <x:c r="C24" s="12" t="str">
        <x:v>Not verified</x:v>
      </x:c>
      <x:c r="D24" s="13" t="str">
        <x:v>Not verified</x:v>
      </x:c>
      <x:c r="E24" s="7" t="str">
        <x:v>Not verified</x:v>
      </x:c>
      <x:c r="F24" s="7" t="str">
        <x:v>https://www.abbottandcompany.net</x:v>
      </x:c>
      <x:c r="G24" t="str">
        <x:v>Lexington</x:v>
      </x:c>
      <x:c r="H24" s="8" t="str">
        <x:v>Apollo</x:v>
      </x:c>
      <x:c r="I24" s="8" t="str">
        <x:v>Not Started</x:v>
      </x:c>
      <x:c r="J24" s="8" t="str">
        <x:v>UNKNOWN_FINANCIAL_SERVICES</x:v>
      </x:c>
      <x:c r="K24" s="7" t="str">
        <x:f>IFERROR(VLOOKUP(J24,'TARGETING_RULES'!$A$6:$D$55,4,FALSE),"")</x:f>
        <x:v>Owner &gt; President &gt; CEO &gt; Managing Partner &gt; HR Director &gt; Training Manager &gt; COO</x:v>
      </x:c>
    </x:row>
    <x:row r="25" ht="42" customHeight="1">
      <x:c r="A25" t="str">
        <x:v>Abby Kelley Foster House, Inc.</x:v>
      </x:c>
      <x:c r="B25" t="str">
        <x:v>Nonprofit Housing &amp; Social Services</x:v>
      </x:c>
      <x:c r="C25" s="12" t="n">
        <x:v>69</x:v>
      </x:c>
      <x:c r="D25" s="13" t="str">
        <x:v>11-50</x:v>
      </x:c>
      <x:c r="E25" s="7" t="str">
        <x:v>https://www.linkedin.com/company/abby-s-house</x:v>
      </x:c>
      <x:c r="F25" s="7" t="str">
        <x:v>https://abbyshouse.org/</x:v>
      </x:c>
      <x:c r="G25" t="str">
        <x:v>Worcester</x:v>
      </x:c>
      <x:c r="H25" s="8" t="str">
        <x:v>Apollo</x:v>
      </x:c>
      <x:c r="I25" s="8" t="str">
        <x:v>Not Started</x:v>
      </x:c>
      <x:c r="J25" s="8" t="str">
        <x:v>MID_NONPROFIT_SOCIAL</x:v>
      </x:c>
      <x:c r="K25" s="7" t="str">
        <x:f>IFERROR(VLOOKUP(J25,'TARGETING_RULES'!$A$6:$D$55,4,FALSE),"")</x:f>
        <x:v>Executive Director &gt; Workforce Development Director &gt; Training Director &gt; L&amp;D Director &gt; Operations Director &gt; HR Director</x:v>
      </x:c>
    </x:row>
    <x:row r="26" ht="42" customHeight="1">
      <x:c r="A26" t="str">
        <x:v>Abode Energy Management LLC</x:v>
      </x:c>
      <x:c r="B26" t="str">
        <x:v>Energy Efficiency Consulting</x:v>
      </x:c>
      <x:c r="C26" s="12" t="n">
        <x:v>70</x:v>
      </x:c>
      <x:c r="D26" s="13" t="str">
        <x:v>11-50</x:v>
      </x:c>
      <x:c r="E26" s="7" t="str">
        <x:v>https://www.linkedin.com/company/abode-energy-management</x:v>
      </x:c>
      <x:c r="F26" s="7" t="str">
        <x:v>http://www.AbodeEM.com</x:v>
      </x:c>
      <x:c r="G26" t="str">
        <x:v>Concord</x:v>
      </x:c>
      <x:c r="H26" s="8" t="str">
        <x:v>Apollo</x:v>
      </x:c>
      <x:c r="I26" s="8" t="str">
        <x:v>Not Started</x:v>
      </x:c>
      <x:c r="J26" s="8" t="str">
        <x:v>MID_TECH_PROFESSIONAL</x:v>
      </x:c>
      <x:c r="K26" s="7" t="str">
        <x:f>IFERROR(VLOOKUP(J26,'TARGETING_RULES'!$A$6:$D$55,4,FALSE),"")</x:f>
        <x:v>People Operations Director &gt; HR Director &gt; L&amp;D Manager &gt; Talent Development Manager &gt; Operations Director &gt; Managing Partner &gt; CEO</x:v>
      </x:c>
    </x:row>
    <x:row r="27" ht="42" customHeight="1">
      <x:c r="A27" t="str">
        <x:v>About Fresh, Inc.</x:v>
      </x:c>
      <x:c r="B27" t="str">
        <x:v>Nonprofit &amp; Food Access</x:v>
      </x:c>
      <x:c r="C27" s="12"/>
      <x:c r="D27" s="13" t="str">
        <x:v>2-10</x:v>
      </x:c>
      <x:c r="E27" s="7" t="str">
        <x:v>https://www.linkedin.com/company/aboutfresh</x:v>
      </x:c>
      <x:c r="F27" s="7" t="str">
        <x:v>http://www.aboutfresh.org</x:v>
      </x:c>
      <x:c r="G27" t="str">
        <x:v>Boston</x:v>
      </x:c>
      <x:c r="H27" s="8" t="str">
        <x:v>Apollo</x:v>
      </x:c>
      <x:c r="I27" s="8" t="str">
        <x:v>Not Started</x:v>
      </x:c>
      <x:c r="J27" s="8" t="str">
        <x:v>SMALL_NONPROFIT_SOCIAL</x:v>
      </x:c>
      <x:c r="K27" s="7" t="str">
        <x:f>IFERROR(VLOOKUP(J27,'TARGETING_RULES'!$A$6:$D$55,4,FALSE),"")</x:f>
        <x:v>Executive Director &gt; Founder &gt; President &gt; CEO &gt; Operations Manager &gt; Workforce Development Director &gt; Training Manager &gt; HR Manager</x:v>
      </x:c>
    </x:row>
    <x:row r="28" ht="42" customHeight="1">
      <x:c r="A28" t="str">
        <x:v>Abside Networks Inc</x:v>
      </x:c>
      <x:c r="B28" t="str">
        <x:v>IT Services &amp; Network Security</x:v>
      </x:c>
      <x:c r="C28" s="12" t="n">
        <x:v>33</x:v>
      </x:c>
      <x:c r="D28" s="13" t="str">
        <x:v>11-50</x:v>
      </x:c>
      <x:c r="E28" s="7" t="str">
        <x:v>https://www.linkedin.com/company/abside-networks-inc.</x:v>
      </x:c>
      <x:c r="F28" s="7" t="str">
        <x:v>http://www.abside-networks.com</x:v>
      </x:c>
      <x:c r="G28" t="str">
        <x:v>Acton</x:v>
      </x:c>
      <x:c r="H28" s="8" t="str">
        <x:v>Apollo</x:v>
      </x:c>
      <x:c r="I28" s="8" t="str">
        <x:v>Not Started</x:v>
      </x:c>
      <x:c r="J28" s="8" t="str">
        <x:v>SMALL_TECH_PROFESSIONAL</x:v>
      </x:c>
      <x:c r="K28" s="7" t="str">
        <x:f>IFERROR(VLOOKUP(J28,'TARGETING_RULES'!$A$6:$D$55,4,FALSE),"")</x:f>
        <x:v>Owner &gt; Founder &gt; Co-Founder &gt; President &gt; CEO &gt; Managing Partner &gt; COO &gt; People Operations Manager &gt; HR Manager</x:v>
      </x:c>
    </x:row>
    <x:row r="29" ht="42" customHeight="1">
      <x:c r="A29" t="str">
        <x:v>Absolute Metal Finishing, Inc.</x:v>
      </x:c>
      <x:c r="B29" t="str">
        <x:v>Metal Finishing</x:v>
      </x:c>
      <x:c r="C29" s="12" t="n">
        <x:v>23</x:v>
      </x:c>
      <x:c r="D29" s="13" t="str">
        <x:v>11-50</x:v>
      </x:c>
      <x:c r="E29" s="7" t="str">
        <x:v>https://www.linkedin.com/company/absolute-metal-finishing-inc</x:v>
      </x:c>
      <x:c r="F29" s="7" t="str">
        <x:v>http://www.absolutemetal.com/</x:v>
      </x:c>
      <x:c r="G29" t="str">
        <x:v>Norwood</x:v>
      </x:c>
      <x:c r="H29" s="8" t="str">
        <x:v>Apollo</x:v>
      </x:c>
      <x:c r="I29" s="8" t="str">
        <x:v>Not Started</x:v>
      </x:c>
      <x:c r="J29" s="8" t="str">
        <x:v>SMALL_MANUFACTURING</x:v>
      </x:c>
      <x:c r="K29" s="7" t="str">
        <x:f>IFERROR(VLOOKUP(J29,'TARGETING_RULES'!$A$6:$D$55,4,FALSE),"")</x:f>
        <x:v>Owner &gt; Founder &gt; Co-Founder &gt; President &gt; CEO &gt; Plant Manager &gt; Operations Manager &gt; Training Manager &gt; HR Manager</x:v>
      </x:c>
    </x:row>
    <x:row r="30" ht="42" customHeight="1">
      <x:c r="A30" t="str">
        <x:v>Abundant Housing Massachusetts Inc</x:v>
      </x:c>
      <x:c r="B30" t="str">
        <x:v>Nonprofit Housing Advocacy</x:v>
      </x:c>
      <x:c r="C30" s="12"/>
      <x:c r="D30" s="13" t="str">
        <x:v>1 employee</x:v>
      </x:c>
      <x:c r="E30" s="7" t="str">
        <x:v>https://www.linkedin.com/company/abundant-housing-ma</x:v>
      </x:c>
      <x:c r="F30" s="7" t="str">
        <x:v>https://abundanthousingma.org/</x:v>
      </x:c>
      <x:c r="G30" t="str">
        <x:v>Boston</x:v>
      </x:c>
      <x:c r="H30" s="8" t="str">
        <x:v>Apollo</x:v>
      </x:c>
      <x:c r="I30" s="8" t="str">
        <x:v>Not Started</x:v>
      </x:c>
      <x:c r="J30" s="8" t="str">
        <x:v>SMALL_NONPROFIT_SOCIAL</x:v>
      </x:c>
      <x:c r="K30" s="7" t="str">
        <x:f>IFERROR(VLOOKUP(J30,'TARGETING_RULES'!$A$6:$D$55,4,FALSE),"")</x:f>
        <x:v>Executive Director &gt; Founder &gt; President &gt; CEO &gt; Operations Manager &gt; Workforce Development Director &gt; Training Manager &gt; HR Manager</x:v>
      </x:c>
    </x:row>
    <x:row r="31" ht="42" customHeight="1">
      <x:c r="A31" t="str">
        <x:v>Academy Fulfillment LLC</x:v>
      </x:c>
      <x:c r="B31" t="str">
        <x:v>Fulfillment &amp; Logistics</x:v>
      </x:c>
      <x:c r="C31" s="12" t="str">
        <x:v>Not verified</x:v>
      </x:c>
      <x:c r="D31" s="13" t="str">
        <x:v>Not verified</x:v>
      </x:c>
      <x:c r="E31" s="7" t="str">
        <x:v>Not verified</x:v>
      </x:c>
      <x:c r="F31" s="7" t="str">
        <x:v>Not verified</x:v>
      </x:c>
      <x:c r="G31" t="str">
        <x:v>Sandwich</x:v>
      </x:c>
      <x:c r="H31" s="8" t="str">
        <x:v>Apollo</x:v>
      </x:c>
      <x:c r="I31" s="8" t="str">
        <x:v>Not Started</x:v>
      </x:c>
      <x:c r="J31" s="8" t="str">
        <x:v>UNKNOWN_LOGISTICS_OPERATIONS</x:v>
      </x:c>
      <x:c r="K31" s="7" t="str">
        <x:f>IFERROR(VLOOKUP(J31,'TARGETING_RULES'!$A$6:$D$55,4,FALSE),"")</x:f>
        <x:v>Owner &gt; President &gt; CEO &gt; General Manager &gt; Operations Director &gt; Training Manager &gt; Safety Manager &gt; HR Director</x:v>
      </x:c>
    </x:row>
    <x:row r="32" ht="42" customHeight="1">
      <x:c r="A32" t="str">
        <x:v>Acadia Management Co. Inc.</x:v>
      </x:c>
      <x:c r="B32" t="str">
        <x:v>Property Management</x:v>
      </x:c>
      <x:c r="C32" s="12" t="str">
        <x:v>Not verified</x:v>
      </x:c>
      <x:c r="D32" s="13" t="str">
        <x:v>Not verified</x:v>
      </x:c>
      <x:c r="E32" s="7" t="str">
        <x:v>Not verified</x:v>
      </x:c>
      <x:c r="F32" s="7" t="str">
        <x:v>Not verified</x:v>
      </x:c>
      <x:c r="G32" t="str">
        <x:v>Boston</x:v>
      </x:c>
      <x:c r="H32" s="8" t="str">
        <x:v>Apollo</x:v>
      </x:c>
      <x:c r="I32" s="8" t="str">
        <x:v>Not Started</x:v>
      </x:c>
      <x:c r="J32" s="8" t="str">
        <x:v>UNKNOWN_REAL_ESTATE_FACILITIES</x:v>
      </x:c>
      <x:c r="K32" s="7" t="str">
        <x:f>IFERROR(VLOOKUP(J32,'TARGETING_RULES'!$A$6:$D$55,4,FALSE),"")</x:f>
        <x:v>Owner &gt; President &gt; CEO &gt; Property Manager &gt; Facilities Director &gt; Operations Director &gt; HR Director</x:v>
      </x:c>
    </x:row>
    <x:row r="33" ht="42" customHeight="1">
      <x:c r="A33" t="str">
        <x:v>Accent Therapeutics, Inc.</x:v>
      </x:c>
      <x:c r="B33" t="str">
        <x:v>Biotechnology</x:v>
      </x:c>
      <x:c r="C33" s="12" t="n">
        <x:v>31</x:v>
      </x:c>
      <x:c r="D33" s="13" t="str">
        <x:v>11-50</x:v>
      </x:c>
      <x:c r="E33" s="7" t="str">
        <x:v>https://www.linkedin.com/company/accenttherapeutics</x:v>
      </x:c>
      <x:c r="F33" s="7" t="str">
        <x:v>http://www.accenttx.com</x:v>
      </x:c>
      <x:c r="G33" t="str">
        <x:v>Lexington</x:v>
      </x:c>
      <x:c r="H33" s="8" t="str">
        <x:v>Apollo</x:v>
      </x:c>
      <x:c r="I33" s="8" t="str">
        <x:v>Not Started</x:v>
      </x:c>
      <x:c r="J33" s="8" t="str">
        <x:v>SMALL_TECH_PROFESSIONAL</x:v>
      </x:c>
      <x:c r="K33" s="7" t="str">
        <x:f>IFERROR(VLOOKUP(J33,'TARGETING_RULES'!$A$6:$D$55,4,FALSE),"")</x:f>
        <x:v>Owner &gt; Founder &gt; Co-Founder &gt; President &gt; CEO &gt; Managing Partner &gt; COO &gt; People Operations Manager &gt; HR Manager</x:v>
      </x:c>
    </x:row>
    <x:row r="34" ht="42" customHeight="1">
      <x:c r="A34" t="str">
        <x:v>Accountable Care Transactions Inc</x:v>
      </x:c>
      <x:c r="B34" t="str">
        <x:v>Healthcare Technology &amp; Care Management</x:v>
      </x:c>
      <x:c r="C34" s="12" t="str">
        <x:v>Not verified</x:v>
      </x:c>
      <x:c r="D34" s="13" t="str">
        <x:v>Not verified</x:v>
      </x:c>
      <x:c r="E34" s="7" t="str">
        <x:v>Not verified</x:v>
      </x:c>
      <x:c r="F34" s="7" t="str">
        <x:v>Not verified</x:v>
      </x:c>
      <x:c r="G34" t="str">
        <x:v>Boston</x:v>
      </x:c>
      <x:c r="H34" s="8" t="str">
        <x:v>Apollo</x:v>
      </x:c>
      <x:c r="I34" s="8" t="str">
        <x:v>Not Started</x:v>
      </x:c>
      <x:c r="J34" s="8" t="str">
        <x:v>UNKNOWN_HEALTHCARE</x:v>
      </x:c>
      <x:c r="K34" s="7" t="str">
        <x:f>IFERROR(VLOOKUP(J34,'TARGETING_RULES'!$A$6:$D$55,4,FALSE),"")</x:f>
        <x:v>Owner &gt; President &gt; CEO &gt; Executive Director &gt; Workforce Development Director &gt; Clinical Education Director &gt; HR Director</x:v>
      </x:c>
    </x:row>
    <x:row r="35" ht="42" customHeight="1">
      <x:c r="A35" t="str">
        <x:v>Accountaides Inc</x:v>
      </x:c>
      <x:c r="B35" t="str">
        <x:v>Accounting &amp; Bookkeeping</x:v>
      </x:c>
      <x:c r="C35" s="12" t="str">
        <x:v>Not verified</x:v>
      </x:c>
      <x:c r="D35" s="13" t="str">
        <x:v>Not verified</x:v>
      </x:c>
      <x:c r="E35" s="7" t="str">
        <x:v>Not verified</x:v>
      </x:c>
      <x:c r="F35" s="7" t="str">
        <x:v>Not verified</x:v>
      </x:c>
      <x:c r="G35" t="str">
        <x:v>West Springfield</x:v>
      </x:c>
      <x:c r="H35" s="8" t="str">
        <x:v>Apollo</x:v>
      </x:c>
      <x:c r="I35" s="8" t="str">
        <x:v>Not Started</x:v>
      </x:c>
      <x:c r="J35" s="8" t="str">
        <x:v>UNKNOWN_FINANCIAL_SERVICES</x:v>
      </x:c>
      <x:c r="K35" s="7" t="str">
        <x:f>IFERROR(VLOOKUP(J35,'TARGETING_RULES'!$A$6:$D$55,4,FALSE),"")</x:f>
        <x:v>Owner &gt; President &gt; CEO &gt; Managing Partner &gt; HR Director &gt; Training Manager &gt; COO</x:v>
      </x:c>
    </x:row>
    <x:row r="36" ht="42" customHeight="1">
      <x:c r="A36" t="str">
        <x:v>AccounTax Associates LLC</x:v>
      </x:c>
      <x:c r="B36" t="str">
        <x:v>Accounting &amp; Tax Services</x:v>
      </x:c>
      <x:c r="C36" s="12" t="n">
        <x:v>3</x:v>
      </x:c>
      <x:c r="D36" s="13" t="str">
        <x:v>2-10</x:v>
      </x:c>
      <x:c r="E36" s="7" t="str">
        <x:v>https://www.linkedin.com/company/accountaxassociates-llc</x:v>
      </x:c>
      <x:c r="F36" s="7" t="str">
        <x:v>http://www.accountaxllc.net/</x:v>
      </x:c>
      <x:c r="G36" t="str">
        <x:v>Chelmsford</x:v>
      </x:c>
      <x:c r="H36" s="8" t="str">
        <x:v>Apollo</x:v>
      </x:c>
      <x:c r="I36" s="8" t="str">
        <x:v>Not Started</x:v>
      </x:c>
      <x:c r="J36" s="8" t="str">
        <x:v>SMALL_FINANCIAL_SERVICES</x:v>
      </x:c>
      <x:c r="K36" s="7" t="str">
        <x:f>IFERROR(VLOOKUP(J36,'TARGETING_RULES'!$A$6:$D$55,4,FALSE),"")</x:f>
        <x:v>Owner &gt; Founder &gt; Co-Founder &gt; President &gt; CEO &gt; Managing Partner &gt; COO &gt; HR Manager &gt; Training Manager</x:v>
      </x:c>
    </x:row>
    <x:row r="37" ht="42" customHeight="1">
      <x:c r="A37" t="str">
        <x:v>Accumet Engineering Inc.</x:v>
      </x:c>
      <x:c r="B37" t="str">
        <x:v>Precision Manufacturing &amp; Laser Services</x:v>
      </x:c>
      <x:c r="C37" s="12" t="n">
        <x:v>36</x:v>
      </x:c>
      <x:c r="D37" s="13" t="str">
        <x:v>51-200</x:v>
      </x:c>
      <x:c r="E37" s="7" t="str">
        <x:v>https://www.linkedin.com/company/laser-services-inc-</x:v>
      </x:c>
      <x:c r="F37" s="7" t="str">
        <x:v>https://www.accumet.com/</x:v>
      </x:c>
      <x:c r="G37" t="str">
        <x:v>Devens</x:v>
      </x:c>
      <x:c r="H37" s="8" t="str">
        <x:v>Apollo</x:v>
      </x:c>
      <x:c r="I37" s="8" t="str">
        <x:v>Not Started</x:v>
      </x:c>
      <x:c r="J37" s="8" t="str">
        <x:v>MID_MANUFACTURING</x:v>
      </x:c>
      <x:c r="K37" s="7" t="str">
        <x:f>IFERROR(VLOOKUP(J37,'TARGETING_RULES'!$A$6:$D$55,4,FALSE),"")</x:f>
        <x:v>Plant Manager &gt; Operations Director &gt; HR Director &gt; Training Manager &gt; Safety Manager &gt; President &gt; CEO</x:v>
      </x:c>
    </x:row>
    <x:row r="38" ht="42" customHeight="1">
      <x:c r="A38" t="str">
        <x:v>ACCURATE MEDICAL COOLING INC</x:v>
      </x:c>
      <x:c r="B38" t="str">
        <x:v>Medical HVAC &amp; Cooling Services</x:v>
      </x:c>
      <x:c r="C38" s="12" t="str">
        <x:v>Not verified</x:v>
      </x:c>
      <x:c r="D38" s="13" t="str">
        <x:v>Not verified</x:v>
      </x:c>
      <x:c r="E38" s="7" t="str">
        <x:v>Not verified</x:v>
      </x:c>
      <x:c r="F38" s="7" t="str">
        <x:v>https://accuratemedicalcooling.com/</x:v>
      </x:c>
      <x:c r="G38" t="str">
        <x:v>North Brookfield</x:v>
      </x:c>
      <x:c r="H38" s="8" t="str">
        <x:v>Apollo</x:v>
      </x:c>
      <x:c r="I38" s="8" t="str">
        <x:v>Not Started</x:v>
      </x:c>
      <x:c r="J38" s="8" t="str">
        <x:v>UNKNOWN_CONSTRUCTION_TRADES</x:v>
      </x:c>
      <x:c r="K38" s="7" t="str">
        <x:f>IFERROR(VLOOKUP(J38,'TARGETING_RULES'!$A$6:$D$55,4,FALSE),"")</x:f>
        <x:v>Owner &gt; President &gt; CEO &gt; Operations Director &gt; Safety Manager &gt; Training Manager &gt; HR Director</x:v>
      </x:c>
    </x:row>
    <x:row r="39" ht="42" customHeight="1">
      <x:c r="A39" t="str">
        <x:v>Accutech Packaging, Inc.</x:v>
      </x:c>
      <x:c r="B39" t="str">
        <x:v>Packaging Equipment Manufacturing</x:v>
      </x:c>
      <x:c r="C39" s="12" t="n">
        <x:v>84</x:v>
      </x:c>
      <x:c r="D39" s="13" t="str">
        <x:v>51-200</x:v>
      </x:c>
      <x:c r="E39" s="7" t="str">
        <x:v>https://www.linkedin.com/company/accutech-packaging</x:v>
      </x:c>
      <x:c r="F39" s="7" t="str">
        <x:v>http://www.accutechpkg.com</x:v>
      </x:c>
      <x:c r="G39" t="str">
        <x:v>Foxborough</x:v>
      </x:c>
      <x:c r="H39" s="8" t="str">
        <x:v>Apollo</x:v>
      </x:c>
      <x:c r="I39" s="8" t="str">
        <x:v>Not Started</x:v>
      </x:c>
      <x:c r="J39" s="8" t="str">
        <x:v>MID_MANUFACTURING</x:v>
      </x:c>
      <x:c r="K39" s="7" t="str">
        <x:f>IFERROR(VLOOKUP(J39,'TARGETING_RULES'!$A$6:$D$55,4,FALSE),"")</x:f>
        <x:v>Plant Manager &gt; Operations Director &gt; HR Director &gt; Training Manager &gt; Safety Manager &gt; President &gt; CEO</x:v>
      </x:c>
    </x:row>
    <x:row r="40" ht="42" customHeight="1">
      <x:c r="A40" t="str">
        <x:v>Accutronics LLC</x:v>
      </x:c>
      <x:c r="B40" t="str">
        <x:v>Electronics Manufacturing</x:v>
      </x:c>
      <x:c r="C40" s="12" t="str">
        <x:v>Not verified</x:v>
      </x:c>
      <x:c r="D40" s="13" t="str">
        <x:v>Not verified</x:v>
      </x:c>
      <x:c r="E40" s="7" t="str">
        <x:v>Not verified</x:v>
      </x:c>
      <x:c r="F40" s="7" t="str">
        <x:v>Not verified</x:v>
      </x:c>
      <x:c r="G40" t="str">
        <x:v>Chelmsford</x:v>
      </x:c>
      <x:c r="H40" s="8" t="str">
        <x:v>Apollo</x:v>
      </x:c>
      <x:c r="I40" s="8" t="str">
        <x:v>Not Started</x:v>
      </x:c>
      <x:c r="J40" s="8" t="str">
        <x:v>UNKNOWN_MANUFACTURING</x:v>
      </x:c>
      <x:c r="K40" s="7" t="str">
        <x:f>IFERROR(VLOOKUP(J40,'TARGETING_RULES'!$A$6:$D$55,4,FALSE),"")</x:f>
        <x:v>Owner &gt; President &gt; CEO &gt; Plant Manager &gt; Operations Director &gt; Training Manager &gt; HR Director</x:v>
      </x:c>
    </x:row>
    <x:row r="41" ht="42" customHeight="1">
      <x:c r="A41" t="str">
        <x:v>Aclarity Inc.</x:v>
      </x:c>
      <x:c r="B41" t="str">
        <x:v>Water Treatment Technology</x:v>
      </x:c>
      <x:c r="C41" s="12"/>
      <x:c r="D41" s="13" t="str">
        <x:v>11-50</x:v>
      </x:c>
      <x:c r="E41" s="7" t="str">
        <x:v>https://www.linkedin.com/company/aclaritywater</x:v>
      </x:c>
      <x:c r="F41" s="7" t="str">
        <x:v>http://aclaritywater.com</x:v>
      </x:c>
      <x:c r="G41" t="str">
        <x:v>Medway</x:v>
      </x:c>
      <x:c r="H41" s="8" t="str">
        <x:v>Apollo</x:v>
      </x:c>
      <x:c r="I41" s="8" t="str">
        <x:v>Not Started</x:v>
      </x:c>
      <x:c r="J41" s="8" t="str">
        <x:v>SMALL_TECH_PROFESSIONAL</x:v>
      </x:c>
      <x:c r="K41" s="7" t="str">
        <x:f>IFERROR(VLOOKUP(J41,'TARGETING_RULES'!$A$6:$D$55,4,FALSE),"")</x:f>
        <x:v>Owner &gt; Founder &gt; Co-Founder &gt; President &gt; CEO &gt; Managing Partner &gt; COO &gt; People Operations Manager &gt; HR Manager</x:v>
      </x:c>
    </x:row>
    <x:row r="42" ht="42" customHeight="1">
      <x:c r="A42" t="str">
        <x:v>ACNS Acquisition, LLC</x:v>
      </x:c>
      <x:c r="B42" t="str">
        <x:v>Holding Company</x:v>
      </x:c>
      <x:c r="C42" s="12" t="str">
        <x:v>Not verified</x:v>
      </x:c>
      <x:c r="D42" s="13" t="str">
        <x:v>Not verified</x:v>
      </x:c>
      <x:c r="E42" s="7" t="str">
        <x:v>Not verified</x:v>
      </x:c>
      <x:c r="F42" s="7" t="str">
        <x:v>Not verified</x:v>
      </x:c>
      <x:c r="G42" t="str">
        <x:v>North Attleborough</x:v>
      </x:c>
      <x:c r="H42" s="8" t="str">
        <x:v>Apollo</x:v>
      </x:c>
      <x:c r="I42" s="8" t="str">
        <x:v>Not Started</x:v>
      </x:c>
      <x:c r="J42" s="8" t="str">
        <x:v>UNKNOWN_GENERAL_BUSINESS</x:v>
      </x:c>
      <x:c r="K42" s="7" t="str">
        <x:f>IFERROR(VLOOKUP(J42,'TARGETING_RULES'!$A$6:$D$55,4,FALSE),"")</x:f>
        <x:v>Owner &gt; Founder &gt; Co-Founder &gt; President &gt; CEO &gt; HR Director &gt; Training Manager &gt; Operations Director</x:v>
      </x:c>
    </x:row>
    <x:row r="43" ht="42" customHeight="1">
      <x:c r="A43" t="str">
        <x:v>Acoustic Wells Inc</x:v>
      </x:c>
      <x:c r="B43" t="str">
        <x:v>Industrial IoT &amp; Energy Technology</x:v>
      </x:c>
      <x:c r="C43" s="12"/>
      <x:c r="D43" s="13" t="str">
        <x:v>11-50</x:v>
      </x:c>
      <x:c r="E43" s="7" t="str">
        <x:v>https://www.linkedin.com/company/amplifiedindustries</x:v>
      </x:c>
      <x:c r="F43" s="7" t="str">
        <x:v>https://amplified.industries</x:v>
      </x:c>
      <x:c r="G43" t="str">
        <x:v>Boston</x:v>
      </x:c>
      <x:c r="H43" s="8" t="str">
        <x:v>Apollo</x:v>
      </x:c>
      <x:c r="I43" s="8" t="str">
        <x:v>Not Started</x:v>
      </x:c>
      <x:c r="J43" s="8" t="str">
        <x:v>SMALL_TECH_PROFESSIONAL</x:v>
      </x:c>
      <x:c r="K43" s="7" t="str">
        <x:f>IFERROR(VLOOKUP(J43,'TARGETING_RULES'!$A$6:$D$55,4,FALSE),"")</x:f>
        <x:v>Owner &gt; Founder &gt; Co-Founder &gt; President &gt; CEO &gt; Managing Partner &gt; COO &gt; People Operations Manager &gt; HR Manager</x:v>
      </x:c>
    </x:row>
    <x:row r="44" ht="42" customHeight="1">
      <x:c r="A44" t="str">
        <x:v>Acrivon Therapeutics Inc.</x:v>
      </x:c>
      <x:c r="B44" t="str">
        <x:v>Biotechnology</x:v>
      </x:c>
      <x:c r="C44" s="12" t="n">
        <x:v>79</x:v>
      </x:c>
      <x:c r="D44" s="13" t="str">
        <x:v>11-50</x:v>
      </x:c>
      <x:c r="E44" s="7" t="str">
        <x:v>https://www.linkedin.com/company/acrivon</x:v>
      </x:c>
      <x:c r="F44" s="7" t="str">
        <x:v>https://acrivon.com</x:v>
      </x:c>
      <x:c r="G44" t="str">
        <x:v>Watertown</x:v>
      </x:c>
      <x:c r="H44" s="8" t="str">
        <x:v>Apollo</x:v>
      </x:c>
      <x:c r="I44" s="8" t="str">
        <x:v>Not Started</x:v>
      </x:c>
      <x:c r="J44" s="8" t="str">
        <x:v>MID_TECH_PROFESSIONAL</x:v>
      </x:c>
      <x:c r="K44" s="7" t="str">
        <x:f>IFERROR(VLOOKUP(J44,'TARGETING_RULES'!$A$6:$D$55,4,FALSE),"")</x:f>
        <x:v>People Operations Director &gt; HR Director &gt; L&amp;D Manager &gt; Talent Development Manager &gt; Operations Director &gt; Managing Partner &gt; CEO</x:v>
      </x:c>
    </x:row>
    <x:row r="45" ht="42" customHeight="1">
      <x:c r="A45" t="str">
        <x:v>Acropolis Design Consultants Inc.</x:v>
      </x:c>
      <x:c r="B45" t="str">
        <x:v>Architecture &amp; Interior Design</x:v>
      </x:c>
      <x:c r="C45" s="12" t="str">
        <x:v>Not verified</x:v>
      </x:c>
      <x:c r="D45" s="13" t="str">
        <x:v>Not verified</x:v>
      </x:c>
      <x:c r="E45" s="7" t="str">
        <x:v>Not verified</x:v>
      </x:c>
      <x:c r="F45" s="7" t="str">
        <x:v>https://www.acropolisdesign.org/</x:v>
      </x:c>
      <x:c r="G45" t="str">
        <x:v>Worcester</x:v>
      </x:c>
      <x:c r="H45" s="8" t="str">
        <x:v>Apollo</x:v>
      </x:c>
      <x:c r="I45" s="8" t="str">
        <x:v>Not Started</x:v>
      </x:c>
      <x:c r="J45" s="8" t="str">
        <x:v>UNKNOWN_TECH_PROFESSIONAL</x:v>
      </x:c>
      <x:c r="K45" s="7" t="str">
        <x:f>IFERROR(VLOOKUP(J45,'TARGETING_RULES'!$A$6:$D$55,4,FALSE),"")</x:f>
        <x:v>Owner &gt; Founder &gt; Co-Founder &gt; President &gt; CEO &gt; People Operations Director &gt; L&amp;D Director &gt; HR Director</x:v>
      </x:c>
    </x:row>
    <x:row r="46" ht="42" customHeight="1">
      <x:c r="A46" t="str">
        <x:v>ACS Computer Services Inc.</x:v>
      </x:c>
      <x:c r="B46" t="str">
        <x:v>IT Services &amp; Consulting</x:v>
      </x:c>
      <x:c r="C46" s="12" t="str">
        <x:v>Not verified</x:v>
      </x:c>
      <x:c r="D46" s="13" t="str">
        <x:v>Not verified</x:v>
      </x:c>
      <x:c r="E46" s="7" t="str">
        <x:v>Not verified</x:v>
      </x:c>
      <x:c r="F46" s="7" t="str">
        <x:v>Not verified</x:v>
      </x:c>
      <x:c r="G46" t="str">
        <x:v>Brockton</x:v>
      </x:c>
      <x:c r="H46" s="8" t="str">
        <x:v>Apollo</x:v>
      </x:c>
      <x:c r="I46" s="8" t="str">
        <x:v>Not Started</x:v>
      </x:c>
      <x:c r="J46" s="8" t="str">
        <x:v>UNKNOWN_TECH_PROFESSIONAL</x:v>
      </x:c>
      <x:c r="K46" s="7" t="str">
        <x:f>IFERROR(VLOOKUP(J46,'TARGETING_RULES'!$A$6:$D$55,4,FALSE),"")</x:f>
        <x:v>Owner &gt; Founder &gt; Co-Founder &gt; President &gt; CEO &gt; People Operations Director &gt; L&amp;D Director &gt; HR Director</x:v>
      </x:c>
    </x:row>
    <x:row r="47" ht="42" customHeight="1">
      <x:c r="A47" t="str">
        <x:v>ACT Financial Services Inc</x:v>
      </x:c>
      <x:c r="B47" t="str">
        <x:v>Financial Services</x:v>
      </x:c>
      <x:c r="C47" s="12" t="str">
        <x:v>Not verified</x:v>
      </x:c>
      <x:c r="D47" s="13" t="str">
        <x:v>Not verified</x:v>
      </x:c>
      <x:c r="E47" s="7" t="str">
        <x:v>Not verified</x:v>
      </x:c>
      <x:c r="F47" s="7" t="str">
        <x:v>https://www.actfinancialservices.net/</x:v>
      </x:c>
      <x:c r="G47" t="str">
        <x:v>Duxbury</x:v>
      </x:c>
      <x:c r="H47" s="8" t="str">
        <x:v>Apollo</x:v>
      </x:c>
      <x:c r="I47" s="8" t="str">
        <x:v>Not Started</x:v>
      </x:c>
      <x:c r="J47" s="8" t="str">
        <x:v>UNKNOWN_FINANCIAL_SERVICES</x:v>
      </x:c>
      <x:c r="K47" s="7" t="str">
        <x:f>IFERROR(VLOOKUP(J47,'TARGETING_RULES'!$A$6:$D$55,4,FALSE),"")</x:f>
        <x:v>Owner &gt; President &gt; CEO &gt; Managing Partner &gt; HR Director &gt; Training Manager &gt; COO</x:v>
      </x:c>
    </x:row>
    <x:row r="48" ht="42" customHeight="1">
      <x:c r="A48" t="str">
        <x:v>Activ Surgical, Inc.</x:v>
      </x:c>
      <x:c r="B48" t="str">
        <x:v>Medical Device Manufacturing</x:v>
      </x:c>
      <x:c r="C48" s="12" t="n">
        <x:v>40</x:v>
      </x:c>
      <x:c r="D48" s="13" t="str">
        <x:v>11-50</x:v>
      </x:c>
      <x:c r="E48" s="7" t="str">
        <x:v>https://www.linkedin.com/company/activ-surgical</x:v>
      </x:c>
      <x:c r="F48" s="7" t="str">
        <x:v>http://www.activsurgical.com</x:v>
      </x:c>
      <x:c r="G48" t="str">
        <x:v>Boston</x:v>
      </x:c>
      <x:c r="H48" s="8" t="str">
        <x:v>Apollo</x:v>
      </x:c>
      <x:c r="I48" s="8" t="str">
        <x:v>Not Started</x:v>
      </x:c>
      <x:c r="J48" s="8" t="str">
        <x:v>SMALL_MANUFACTURING</x:v>
      </x:c>
      <x:c r="K48" s="7" t="str">
        <x:f>IFERROR(VLOOKUP(J48,'TARGETING_RULES'!$A$6:$D$55,4,FALSE),"")</x:f>
        <x:v>Owner &gt; Founder &gt; Co-Founder &gt; President &gt; CEO &gt; Plant Manager &gt; Operations Manager &gt; Training Manager &gt; HR Manager</x:v>
      </x:c>
    </x:row>
    <x:row r="49" ht="42" customHeight="1">
      <x:c r="A49" t="str">
        <x:v>3XR Inc.</x:v>
      </x:c>
      <x:c r="B49" t="str">
        <x:v>3D Visualization Software</x:v>
      </x:c>
      <x:c r="C49" s="12"/>
      <x:c r="D49" s="13" t="str">
        <x:v>11-50</x:v>
      </x:c>
      <x:c r="E49" s="7" t="str">
        <x:v>https://www.linkedin.com/company/3xr</x:v>
      </x:c>
      <x:c r="F49" s="7" t="str">
        <x:v>https://www.3xr.com/</x:v>
      </x:c>
      <x:c r="G49" t="str">
        <x:v>Wakefield</x:v>
      </x:c>
      <x:c r="H49" s="8" t="str">
        <x:v>Apollo</x:v>
      </x:c>
      <x:c r="I49" s="8" t="str">
        <x:v>Not Started</x:v>
      </x:c>
      <x:c r="J49" s="8" t="str">
        <x:v>SMALL_TECH_PROFESSIONAL</x:v>
      </x:c>
      <x:c r="K49" s="7" t="str">
        <x:f>IFERROR(VLOOKUP(J49,'TARGETING_RULES'!$A$6:$D$55,4,FALSE),"")</x:f>
        <x:v>Owner &gt; Founder &gt; Co-Founder &gt; President &gt; CEO &gt; Managing Partner &gt; COO &gt; People Operations Manager &gt; HR Manager</x:v>
      </x:c>
    </x:row>
    <x:row r="50" ht="42" customHeight="1">
      <x:c r="A50" t="str">
        <x:v>A &amp; A Window Products, Inc.</x:v>
      </x:c>
      <x:c r="B50" t="str">
        <x:v>Windows &amp; Building Materials</x:v>
      </x:c>
      <x:c r="C50" s="12"/>
      <x:c r="D50" s="13" t="str">
        <x:v>51-200</x:v>
      </x:c>
      <x:c r="E50" s="7" t="str">
        <x:v>https://www.linkedin.com/company/a-%26-a-window-products-inc-</x:v>
      </x:c>
      <x:c r="F50" s="7" t="str">
        <x:v>http://www.aawindowproducts.com</x:v>
      </x:c>
      <x:c r="G50" t="str">
        <x:v>Malden</x:v>
      </x:c>
      <x:c r="H50" s="8" t="str">
        <x:v>Apollo</x:v>
      </x:c>
      <x:c r="I50" s="8" t="str">
        <x:v>Not Started</x:v>
      </x:c>
      <x:c r="J50" s="8" t="str">
        <x:v>MID_CONSTRUCTION_TRADES</x:v>
      </x:c>
      <x:c r="K50" s="7" t="str">
        <x:f>IFERROR(VLOOKUP(J50,'TARGETING_RULES'!$A$6:$D$55,4,FALSE),"")</x:f>
        <x:v>Operations Director &gt; Safety Director &gt; Safety Manager &gt; Training Manager &gt; HR Director &gt; HR Manager &gt; President &gt; CEO</x:v>
      </x:c>
    </x:row>
    <x:row r="51" ht="42" customHeight="1">
      <x:c r="A51" t="str">
        <x:v>A.M.A. Transportation Co. Inc.</x:v>
      </x:c>
      <x:c r="B51" t="str">
        <x:v>Trucking &amp; Logistics</x:v>
      </x:c>
      <x:c r="C51" s="12" t="str">
        <x:v>Not verified</x:v>
      </x:c>
      <x:c r="D51" s="13" t="str">
        <x:v>Not verified</x:v>
      </x:c>
      <x:c r="E51" s="7" t="str">
        <x:v>Not verified</x:v>
      </x:c>
      <x:c r="F51" s="7" t="str">
        <x:v>Not verified</x:v>
      </x:c>
      <x:c r="G51" t="str">
        <x:v>Billerica</x:v>
      </x:c>
      <x:c r="H51" s="8" t="str">
        <x:v>Apollo</x:v>
      </x:c>
      <x:c r="I51" s="8" t="str">
        <x:v>Not Started</x:v>
      </x:c>
      <x:c r="J51" s="8" t="str">
        <x:v>UNKNOWN_LOGISTICS_OPERATIONS</x:v>
      </x:c>
      <x:c r="K51" s="7" t="str">
        <x:f>IFERROR(VLOOKUP(J51,'TARGETING_RULES'!$A$6:$D$55,4,FALSE),"")</x:f>
        <x:v>Owner &gt; President &gt; CEO &gt; General Manager &gt; Operations Director &gt; Training Manager &gt; Safety Manager &gt; HR Director</x:v>
      </x:c>
    </x:row>
    <x:row r="52" ht="42" customHeight="1">
      <x:c r="A52" t="str">
        <x:v>A3 Architects Inc.</x:v>
      </x:c>
      <x:c r="B52" t="str">
        <x:v>Architecture &amp; Planning</x:v>
      </x:c>
      <x:c r="C52" s="12" t="str">
        <x:v>Not verified</x:v>
      </x:c>
      <x:c r="D52" s="13" t="str">
        <x:v>Not verified</x:v>
      </x:c>
      <x:c r="E52" s="7" t="str">
        <x:v>Not verified</x:v>
      </x:c>
      <x:c r="F52" s="7" t="str">
        <x:v>http://www.a3architectsinc.com/</x:v>
      </x:c>
      <x:c r="G52" t="str">
        <x:v>Dennis</x:v>
      </x:c>
      <x:c r="H52" s="8" t="str">
        <x:v>Apollo</x:v>
      </x:c>
      <x:c r="I52" s="8" t="str">
        <x:v>Not Started</x:v>
      </x:c>
      <x:c r="J52" s="8" t="str">
        <x:v>UNKNOWN_TECH_PROFESSIONAL</x:v>
      </x:c>
      <x:c r="K52" s="7" t="str">
        <x:f>IFERROR(VLOOKUP(J52,'TARGETING_RULES'!$A$6:$D$55,4,FALSE),"")</x:f>
        <x:v>Owner &gt; Founder &gt; Co-Founder &gt; President &gt; CEO &gt; People Operations Director &gt; L&amp;D Director &gt; HR Director</x:v>
      </x:c>
    </x:row>
    <x:row r="53" ht="42" customHeight="1">
      <x:c r="A53" t="str">
        <x:v>Architectural Engineers, Inc.</x:v>
      </x:c>
      <x:c r="B53" t="str">
        <x:v>Engineering Services</x:v>
      </x:c>
      <x:c r="C53" s="12" t="n">
        <x:v>14</x:v>
      </x:c>
      <x:c r="D53" s="13" t="str">
        <x:v>11-50</x:v>
      </x:c>
      <x:c r="E53" s="7" t="str">
        <x:v>https://www.linkedin.com/company/architectural-engineers-inc-</x:v>
      </x:c>
      <x:c r="F53" s="7" t="str">
        <x:v>http://www.imegcorp.com</x:v>
      </x:c>
      <x:c r="G53" t="str">
        <x:v>Boston</x:v>
      </x:c>
      <x:c r="H53" s="8" t="str">
        <x:v>Apollo</x:v>
      </x:c>
      <x:c r="I53" s="8" t="str">
        <x:v>Not Started</x:v>
      </x:c>
      <x:c r="J53" s="8" t="str">
        <x:v>SMALL_TECH_PROFESSIONAL</x:v>
      </x:c>
      <x:c r="K53" s="7" t="str">
        <x:f>IFERROR(VLOOKUP(J53,'TARGETING_RULES'!$A$6:$D$55,4,FALSE),"")</x:f>
        <x:v>Owner &gt; Founder &gt; Co-Founder &gt; President &gt; CEO &gt; Managing Partner &gt; COO &gt; People Operations Manager &gt; HR Manager</x:v>
      </x:c>
    </x:row>
    <x:row r="54" ht="42" customHeight="1">
      <x:c r="A54" t="str">
        <x:v>Mass Tank Sales Corp.</x:v>
      </x:c>
      <x:c r="B54" t="str">
        <x:v>Tank Fabrication &amp; Industrial Equipment</x:v>
      </x:c>
      <x:c r="C54" s="12" t="str">
        <x:v>Not verified</x:v>
      </x:c>
      <x:c r="D54" s="13" t="str">
        <x:v>Not verified</x:v>
      </x:c>
      <x:c r="E54" s="7" t="str">
        <x:v>Not verified</x:v>
      </x:c>
      <x:c r="F54" s="7" t="str">
        <x:v>Not verified</x:v>
      </x:c>
      <x:c r="G54" t="str">
        <x:v>Middleboro</x:v>
      </x:c>
      <x:c r="H54" s="8" t="str">
        <x:v>Apollo</x:v>
      </x:c>
      <x:c r="I54" s="8" t="str">
        <x:v>Not Started</x:v>
      </x:c>
      <x:c r="J54" s="8" t="str">
        <x:v>UNKNOWN_MANUFACTURING</x:v>
      </x:c>
      <x:c r="K54" s="7" t="str">
        <x:f>IFERROR(VLOOKUP(J54,'TARGETING_RULES'!$A$6:$D$55,4,FALSE),"")</x:f>
        <x:v>Owner &gt; President &gt; CEO &gt; Plant Manager &gt; Operations Director &gt; Training Manager &gt; HR Director</x:v>
      </x:c>
    </x:row>
    <x:row r="55" ht="42" customHeight="1">
      <x:c r="A55" t="str">
        <x:v>MedAcuity LLC</x:v>
      </x:c>
      <x:c r="B55" t="str">
        <x:v>Medical Software Development</x:v>
      </x:c>
      <x:c r="C55" s="12" t="n">
        <x:v>81</x:v>
      </x:c>
      <x:c r="D55" s="13" t="str">
        <x:v>51-200</x:v>
      </x:c>
      <x:c r="E55" s="7" t="str">
        <x:v>https://www.linkedin.com/company/medacuity</x:v>
      </x:c>
      <x:c r="F55" s="7" t="str">
        <x:v>http://www.medacuity.com</x:v>
      </x:c>
      <x:c r="G55" t="str">
        <x:v>Westford</x:v>
      </x:c>
      <x:c r="H55" s="8" t="str">
        <x:v>Apollo</x:v>
      </x:c>
      <x:c r="I55" s="8" t="str">
        <x:v>Not Started</x:v>
      </x:c>
      <x:c r="J55" s="8" t="str">
        <x:v>MID_TECH_PROFESSIONAL</x:v>
      </x:c>
      <x:c r="K55" s="7" t="str">
        <x:f>IFERROR(VLOOKUP(J55,'TARGETING_RULES'!$A$6:$D$55,4,FALSE),"")</x:f>
        <x:v>People Operations Director &gt; HR Director &gt; L&amp;D Manager &gt; Talent Development Manager &gt; Operations Director &gt; Managing Partner &gt; CEO</x:v>
      </x:c>
    </x:row>
    <x:row r="56" ht="42" customHeight="1">
      <x:c r="A56" t="str">
        <x:v>AGRI MARK Inc.</x:v>
      </x:c>
      <x:c r="B56" t="str">
        <x:v>Dairy Manufacturing</x:v>
      </x:c>
      <x:c r="C56" s="12" t="n">
        <x:v>354</x:v>
      </x:c>
      <x:c r="D56" s="13" t="str">
        <x:v>1,001-5,000</x:v>
      </x:c>
      <x:c r="E56" s="7" t="str">
        <x:v>https://www.linkedin.com/company/agri-mark-inc.</x:v>
      </x:c>
      <x:c r="F56" s="7" t="str">
        <x:v>http://www.agrimark.net</x:v>
      </x:c>
      <x:c r="G56" t="str">
        <x:v>West Springfield</x:v>
      </x:c>
      <x:c r="H56" s="8" t="str">
        <x:v>Apollo</x:v>
      </x:c>
      <x:c r="I56" s="8" t="str">
        <x:v>Not Started</x:v>
      </x:c>
      <x:c r="J56" s="8" t="str">
        <x:v>ENTERPRISE_MANUFACTURING</x:v>
      </x:c>
      <x:c r="K56" s="7" t="str">
        <x:f>IFERROR(VLOOKUP(J56,'TARGETING_RULES'!$A$6:$D$55,4,FALSE),"")</x:f>
        <x:v>Plant Manager &gt; Training Director &gt; L&amp;D Director &gt; Workforce Development Director &gt; Operations Director &gt; HR Director &gt; VP of HR</x:v>
      </x:c>
    </x:row>
    <x:row r="57" ht="42" customHeight="1">
      <x:c r="A57" t="str">
        <x:v>AHA Consulting Engineers, Inc.</x:v>
      </x:c>
      <x:c r="B57" t="str">
        <x:v>Engineering Services</x:v>
      </x:c>
      <x:c r="C57" s="12" t="n">
        <x:v>206</x:v>
      </x:c>
      <x:c r="D57" s="13" t="str">
        <x:v>51-200</x:v>
      </x:c>
      <x:c r="E57" s="7" t="str">
        <x:v>https://www.linkedin.com/company/aha-consulting-engineers</x:v>
      </x:c>
      <x:c r="F57" s="7" t="str">
        <x:v>http://www.aha-engineers.com</x:v>
      </x:c>
      <x:c r="G57" t="str">
        <x:v>Lexington</x:v>
      </x:c>
      <x:c r="H57" s="8" t="str">
        <x:v>Apollo</x:v>
      </x:c>
      <x:c r="I57" s="8" t="str">
        <x:v>Not Started</x:v>
      </x:c>
      <x:c r="J57" s="8" t="str">
        <x:v>LARGE_TECH_PROFESSIONAL</x:v>
      </x:c>
      <x:c r="K57" s="7" t="str">
        <x:f>IFERROR(VLOOKUP(J57,'TARGETING_RULES'!$A$6:$D$55,4,FALSE),"")</x:f>
        <x:v>L&amp;D Director &gt; People Operations Director &gt; Talent Development Director &gt; Organizational Development Director &gt; HR Director &gt; VP of People</x:v>
      </x:c>
    </x:row>
    <x:row r="58" ht="42" customHeight="1">
      <x:c r="A58" t="str">
        <x:v>AI Engineers, Inc.</x:v>
      </x:c>
      <x:c r="B58" t="str">
        <x:v>Civil Engineering</x:v>
      </x:c>
      <x:c r="C58" s="12" t="n">
        <x:v>415</x:v>
      </x:c>
      <x:c r="D58" s="13" t="str">
        <x:v>201-500</x:v>
      </x:c>
      <x:c r="E58" s="7" t="str">
        <x:v>https://www.linkedin.com/company/ai-engineers-inc</x:v>
      </x:c>
      <x:c r="F58" s="7" t="str">
        <x:v>http://www.aiengineers.com/</x:v>
      </x:c>
      <x:c r="G58" t="str">
        <x:v>Boston</x:v>
      </x:c>
      <x:c r="H58" s="8" t="str">
        <x:v>Apollo</x:v>
      </x:c>
      <x:c r="I58" s="8" t="str">
        <x:v>Not Started</x:v>
      </x:c>
      <x:c r="J58" s="8" t="str">
        <x:v>LARGE_TECH_PROFESSIONAL</x:v>
      </x:c>
      <x:c r="K58" s="7" t="str">
        <x:f>IFERROR(VLOOKUP(J58,'TARGETING_RULES'!$A$6:$D$55,4,FALSE),"")</x:f>
        <x:v>L&amp;D Director &gt; People Operations Director &gt; Talent Development Director &gt; Organizational Development Director &gt; HR Director &gt; VP of People</x:v>
      </x:c>
    </x:row>
    <x:row r="59" ht="42" customHeight="1">
      <x:c r="A59" t="str">
        <x:v>Antenna Associates Inc.</x:v>
      </x:c>
      <x:c r="B59" t="str">
        <x:v>Telecommunications Equipment Manufacturing</x:v>
      </x:c>
      <x:c r="C59" s="12"/>
      <x:c r="D59" s="13" t="str">
        <x:v>11-50</x:v>
      </x:c>
      <x:c r="E59" s="7" t="str">
        <x:v>https://www.linkedin.com/company/antenna-associates-inc-</x:v>
      </x:c>
      <x:c r="F59" s="7" t="str">
        <x:v>http://www.antennaassociates.com</x:v>
      </x:c>
      <x:c r="G59" t="str">
        <x:v>Brockton</x:v>
      </x:c>
      <x:c r="H59" s="8" t="str">
        <x:v>Apollo</x:v>
      </x:c>
      <x:c r="I59" s="8" t="str">
        <x:v>Not Started</x:v>
      </x:c>
      <x:c r="J59" s="8" t="str">
        <x:v>SMALL_MANUFACTURING</x:v>
      </x:c>
      <x:c r="K59" s="7" t="str">
        <x:f>IFERROR(VLOOKUP(J59,'TARGETING_RULES'!$A$6:$D$55,4,FALSE),"")</x:f>
        <x:v>Owner &gt; Founder &gt; Co-Founder &gt; President &gt; CEO &gt; Plant Manager &gt; Operations Manager &gt; Training Manager &gt; HR Manager</x:v>
      </x:c>
    </x:row>
    <x:row r="60" ht="42" customHeight="1">
      <x:c r="A60" t="str">
        <x:v>Boston Baking Inc.</x:v>
      </x:c>
      <x:c r="B60" t="str">
        <x:v>Food Manufacturing</x:v>
      </x:c>
      <x:c r="C60" s="12"/>
      <x:c r="D60" s="13" t="str">
        <x:v>51-200</x:v>
      </x:c>
      <x:c r="E60" s="7" t="str">
        <x:v>https://www.linkedin.com/company/boston-baking-inc</x:v>
      </x:c>
      <x:c r="F60" s="7" t="str">
        <x:v>http://www.bostonbaking.com</x:v>
      </x:c>
      <x:c r="G60" t="str">
        <x:v>Boston</x:v>
      </x:c>
      <x:c r="H60" s="8" t="str">
        <x:v>Apollo</x:v>
      </x:c>
      <x:c r="I60" s="8" t="str">
        <x:v>Not Started</x:v>
      </x:c>
      <x:c r="J60" s="8" t="str">
        <x:v>MID_MANUFACTURING</x:v>
      </x:c>
      <x:c r="K60" s="7" t="str">
        <x:f>IFERROR(VLOOKUP(J60,'TARGETING_RULES'!$A$6:$D$55,4,FALSE),"")</x:f>
        <x:v>Plant Manager &gt; Operations Director &gt; HR Director &gt; Training Manager &gt; Safety Manager &gt; President &gt; CEO</x:v>
      </x:c>
    </x:row>
    <x:row r="61" ht="42" customHeight="1">
      <x:c r="A61" t="str">
        <x:v>3Play Media</x:v>
      </x:c>
      <x:c r="B61" t="str">
        <x:v>Media Accessibility &amp; Localization</x:v>
      </x:c>
      <x:c r="C61" s="12" t="n">
        <x:v>600</x:v>
      </x:c>
      <x:c r="D61" s="13" t="str">
        <x:v>51-200</x:v>
      </x:c>
      <x:c r="E61" s="7" t="str">
        <x:v>https://www.linkedin.com/company/3play-media</x:v>
      </x:c>
      <x:c r="F61" s="7" t="str">
        <x:v>https://www.3playmedia.com/</x:v>
      </x:c>
      <x:c r="G61" t="str">
        <x:v>Boston</x:v>
      </x:c>
      <x:c r="H61" s="8" t="str">
        <x:v>Prospeo</x:v>
      </x:c>
      <x:c r="I61" s="8" t="str">
        <x:v>Not Started</x:v>
      </x:c>
      <x:c r="J61" s="8" t="str">
        <x:v>LARGE_TECH_PROFESSIONAL</x:v>
      </x:c>
      <x:c r="K61" s="7" t="str">
        <x:f>IFERROR(VLOOKUP(J61,'TARGETING_RULES'!$A$6:$D$55,4,FALSE),"")</x:f>
        <x:v>L&amp;D Director &gt; People Operations Director &gt; Talent Development Director &gt; Organizational Development Director &gt; HR Director &gt; VP of People</x:v>
      </x:c>
    </x:row>
    <x:row r="62" ht="42" customHeight="1">
      <x:c r="A62" t="str">
        <x:v>88 Acres Foods</x:v>
      </x:c>
      <x:c r="B62" t="str">
        <x:v>Food &amp; Beverage Manufacturing</x:v>
      </x:c>
      <x:c r="C62" s="12" t="n">
        <x:v>41</x:v>
      </x:c>
      <x:c r="D62" s="13" t="str">
        <x:v>51-200</x:v>
      </x:c>
      <x:c r="E62" s="7" t="str">
        <x:v>https://www.linkedin.com/company/88-acres</x:v>
      </x:c>
      <x:c r="F62" s="7" t="str">
        <x:v>https://88acres.com/</x:v>
      </x:c>
      <x:c r="G62" t="str">
        <x:v>Canton</x:v>
      </x:c>
      <x:c r="H62" s="8" t="str">
        <x:v>Prospeo</x:v>
      </x:c>
      <x:c r="I62" s="8" t="str">
        <x:v>Not Started</x:v>
      </x:c>
      <x:c r="J62" s="8" t="str">
        <x:v>MID_MANUFACTURING</x:v>
      </x:c>
      <x:c r="K62" s="7" t="str">
        <x:f>IFERROR(VLOOKUP(J62,'TARGETING_RULES'!$A$6:$D$55,4,FALSE),"")</x:f>
        <x:v>Plant Manager &gt; Operations Director &gt; HR Director &gt; Training Manager &gt; Safety Manager &gt; President &gt; CEO</x:v>
      </x:c>
    </x:row>
    <x:row r="63" ht="42" customHeight="1">
      <x:c r="A63" t="str">
        <x:v>ABCorp</x:v>
      </x:c>
      <x:c r="B63" t="str">
        <x:v>Security Printing &amp; Identity Solutions</x:v>
      </x:c>
      <x:c r="C63" s="12" t="n">
        <x:v>231</x:v>
      </x:c>
      <x:c r="D63" s="13" t="str">
        <x:v>501-1,000</x:v>
      </x:c>
      <x:c r="E63" s="7" t="str">
        <x:v>https://www.linkedin.com/company/abcorp-american-banknote-corporation</x:v>
      </x:c>
      <x:c r="F63" s="7" t="str">
        <x:v>https://abcorp.com/</x:v>
      </x:c>
      <x:c r="G63" t="str">
        <x:v>Boston</x:v>
      </x:c>
      <x:c r="H63" s="8" t="str">
        <x:v>Prospeo</x:v>
      </x:c>
      <x:c r="I63" s="8" t="str">
        <x:v>Not Started</x:v>
      </x:c>
      <x:c r="J63" s="8" t="str">
        <x:v>LARGE_MANUFACTURING</x:v>
      </x:c>
      <x:c r="K63" s="7" t="str">
        <x:f>IFERROR(VLOOKUP(J63,'TARGETING_RULES'!$A$6:$D$55,4,FALSE),"")</x:f>
        <x:v>Plant Manager &gt; Operations Director &gt; Training Director &gt; L&amp;D Director &gt; HR Director &gt; Safety Director &gt; VP of Operations</x:v>
      </x:c>
    </x:row>
    <x:row r="64" ht="42" customHeight="1">
      <x:c r="A64" t="str">
        <x:v>Aceituna Grill</x:v>
      </x:c>
      <x:c r="B64" t="str">
        <x:v>Restaurants</x:v>
      </x:c>
      <x:c r="C64" s="12" t="n">
        <x:v>7</x:v>
      </x:c>
      <x:c r="D64" s="13" t="str">
        <x:v>2-10</x:v>
      </x:c>
      <x:c r="E64" s="7" t="str">
        <x:v>https://www.linkedin.com/company/aceituna-grill</x:v>
      </x:c>
      <x:c r="F64" s="7" t="str">
        <x:v>https://www.aceitunagrill.com/</x:v>
      </x:c>
      <x:c r="G64" t="str">
        <x:v>Boston</x:v>
      </x:c>
      <x:c r="H64" s="8" t="str">
        <x:v>Prospeo</x:v>
      </x:c>
      <x:c r="I64" s="8" t="str">
        <x:v>Not Started</x:v>
      </x:c>
      <x:c r="J64" s="8" t="str">
        <x:v>SMALL_HOSPITALITY_RETAIL</x:v>
      </x:c>
      <x:c r="K64" s="7" t="str">
        <x:f>IFERROR(VLOOKUP(J64,'TARGETING_RULES'!$A$6:$D$55,4,FALSE),"")</x:f>
        <x:v>Owner &gt; Founder &gt; Co-Founder &gt; President &gt; CEO &gt; General Manager &gt; Operations Manager &gt; Training Manager &gt; HR Manager</x:v>
      </x:c>
    </x:row>
    <x:row r="65" ht="42" customHeight="1">
      <x:c r="A65" t="str">
        <x:v>Adaptas Solution</x:v>
      </x:c>
      <x:c r="B65" t="str">
        <x:v>Medical Equipment Manufacturing</x:v>
      </x:c>
      <x:c r="C65" s="12" t="n">
        <x:v>167</x:v>
      </x:c>
      <x:c r="D65" s="13" t="str">
        <x:v>5,001-10,000</x:v>
      </x:c>
      <x:c r="E65" s="7" t="str">
        <x:v>https://www.linkedin.com/company/adaptas-solutions</x:v>
      </x:c>
      <x:c r="F65" s="7" t="str">
        <x:v>https://www.adaptas.com/</x:v>
      </x:c>
      <x:c r="G65" t="str">
        <x:v>Palmer</x:v>
      </x:c>
      <x:c r="H65" s="8" t="str">
        <x:v>Prospeo</x:v>
      </x:c>
      <x:c r="I65" s="8" t="str">
        <x:v>Not Started</x:v>
      </x:c>
      <x:c r="J65" s="8" t="str">
        <x:v>ENTERPRISE_MANUFACTURING</x:v>
      </x:c>
      <x:c r="K65" s="7" t="str">
        <x:f>IFERROR(VLOOKUP(J65,'TARGETING_RULES'!$A$6:$D$55,4,FALSE),"")</x:f>
        <x:v>Plant Manager &gt; Training Director &gt; L&amp;D Director &gt; Workforce Development Director &gt; Operations Director &gt; HR Director &gt; VP of HR</x:v>
      </x:c>
    </x:row>
    <x:row r="66" ht="42" customHeight="1">
      <x:c r="A66" t="str">
        <x:v>Admiral Metals</x:v>
      </x:c>
      <x:c r="B66" t="str">
        <x:v>Metals Wholesale</x:v>
      </x:c>
      <x:c r="C66" s="12" t="n">
        <x:v>102</x:v>
      </x:c>
      <x:c r="D66" s="13" t="str">
        <x:v>51-200</x:v>
      </x:c>
      <x:c r="E66" s="7" t="str">
        <x:v>https://www.linkedin.com/company/admiral-metals</x:v>
      </x:c>
      <x:c r="F66" s="7" t="str">
        <x:v>https://www.admiralmetals.com/</x:v>
      </x:c>
      <x:c r="G66" t="str">
        <x:v>Woburn</x:v>
      </x:c>
      <x:c r="H66" s="8" t="str">
        <x:v>Prospeo</x:v>
      </x:c>
      <x:c r="I66" s="8" t="str">
        <x:v>Not Started</x:v>
      </x:c>
      <x:c r="J66" s="8" t="str">
        <x:v>MID_MANUFACTURING</x:v>
      </x:c>
      <x:c r="K66" s="7" t="str">
        <x:f>IFERROR(VLOOKUP(J66,'TARGETING_RULES'!$A$6:$D$55,4,FALSE),"")</x:f>
        <x:v>Plant Manager &gt; Operations Director &gt; HR Director &gt; Training Manager &gt; Safety Manager &gt; President &gt; CEO</x:v>
      </x:c>
    </x:row>
    <x:row r="67" ht="42" customHeight="1">
      <x:c r="A67" t="str">
        <x:v>Allegro MicroSystems</x:v>
      </x:c>
      <x:c r="B67" t="str">
        <x:v>Semiconductor Manufacturing</x:v>
      </x:c>
      <x:c r="C67" s="12" t="n">
        <x:v>2896</x:v>
      </x:c>
      <x:c r="D67" s="13" t="str">
        <x:v>1,001-5,000</x:v>
      </x:c>
      <x:c r="E67" s="7" t="str">
        <x:v>https://www.linkedin.com/company/allegro-microsystems</x:v>
      </x:c>
      <x:c r="F67" s="7" t="str">
        <x:v>https://www.allegromicro.com/</x:v>
      </x:c>
      <x:c r="G67" t="str">
        <x:v>Natick</x:v>
      </x:c>
      <x:c r="H67" s="8" t="str">
        <x:v>Prospeo</x:v>
      </x:c>
      <x:c r="I67" s="8" t="str">
        <x:v>Not Started</x:v>
      </x:c>
      <x:c r="J67" s="8" t="str">
        <x:v>ENTERPRISE_MANUFACTURING</x:v>
      </x:c>
      <x:c r="K67" s="7" t="str">
        <x:f>IFERROR(VLOOKUP(J67,'TARGETING_RULES'!$A$6:$D$55,4,FALSE),"")</x:f>
        <x:v>Plant Manager &gt; Training Director &gt; L&amp;D Director &gt; Workforce Development Director &gt; Operations Director &gt; HR Director &gt; VP of HR</x:v>
      </x:c>
    </x:row>
    <x:row r="68" ht="42" customHeight="1">
      <x:c r="A68" t="str">
        <x:v>Alpha Chemical Services</x:v>
      </x:c>
      <x:c r="B68" t="str">
        <x:v>Chemical Manufacturing</x:v>
      </x:c>
      <x:c r="C68" s="12" t="n">
        <x:v>48</x:v>
      </x:c>
      <x:c r="D68" s="13" t="str">
        <x:v>51-200</x:v>
      </x:c>
      <x:c r="E68" s="7" t="str">
        <x:v>https://www.linkedin.com/company/alphachemical</x:v>
      </x:c>
      <x:c r="F68" s="7" t="str">
        <x:v>https://alphachemical.com/</x:v>
      </x:c>
      <x:c r="G68" t="str">
        <x:v>Stoughton</x:v>
      </x:c>
      <x:c r="H68" s="8" t="str">
        <x:v>Prospeo</x:v>
      </x:c>
      <x:c r="I68" s="8" t="str">
        <x:v>Not Started</x:v>
      </x:c>
      <x:c r="J68" s="8" t="str">
        <x:v>MID_MANUFACTURING</x:v>
      </x:c>
      <x:c r="K68" s="7" t="str">
        <x:f>IFERROR(VLOOKUP(J68,'TARGETING_RULES'!$A$6:$D$55,4,FALSE),"")</x:f>
        <x:v>Plant Manager &gt; Operations Director &gt; HR Director &gt; Training Manager &gt; Safety Manager &gt; President &gt; CEO</x:v>
      </x:c>
    </x:row>
    <x:row r="69" ht="42" customHeight="1">
      <x:c r="A69" t="str">
        <x:v>Analytix Business Solutions</x:v>
      </x:c>
      <x:c r="B69" t="str">
        <x:v>Business Consulting &amp; Outsourcing</x:v>
      </x:c>
      <x:c r="C69" s="12" t="n">
        <x:v>596</x:v>
      </x:c>
      <x:c r="D69" s="13" t="str">
        <x:v>501-1,000</x:v>
      </x:c>
      <x:c r="E69" s="7" t="str">
        <x:v>https://www.linkedin.com/company/analytixsolutions</x:v>
      </x:c>
      <x:c r="F69" s="7" t="str">
        <x:v>https://www.analytix.com/</x:v>
      </x:c>
      <x:c r="G69" t="str">
        <x:v>Woburn</x:v>
      </x:c>
      <x:c r="H69" s="8" t="str">
        <x:v>Prospeo</x:v>
      </x:c>
      <x:c r="I69" s="8" t="str">
        <x:v>Not Started</x:v>
      </x:c>
      <x:c r="J69" s="8" t="str">
        <x:v>LARGE_TECH_PROFESSIONAL</x:v>
      </x:c>
      <x:c r="K69" s="7" t="str">
        <x:f>IFERROR(VLOOKUP(J69,'TARGETING_RULES'!$A$6:$D$55,4,FALSE),"")</x:f>
        <x:v>L&amp;D Director &gt; People Operations Director &gt; Talent Development Director &gt; Organizational Development Director &gt; HR Director &gt; VP of People</x:v>
      </x:c>
    </x:row>
    <x:row r="70" ht="42" customHeight="1">
      <x:c r="A70" t="str">
        <x:v>ARC Technologies</x:v>
      </x:c>
      <x:c r="B70" t="str">
        <x:v>Advanced Materials Manufacturing</x:v>
      </x:c>
      <x:c r="C70" s="12" t="n">
        <x:v>122</x:v>
      </x:c>
      <x:c r="D70" s="13" t="str">
        <x:v>51-200</x:v>
      </x:c>
      <x:c r="E70" s="7" t="str">
        <x:v>https://www.linkedin.com/company/arc-technologies-inc</x:v>
      </x:c>
      <x:c r="F70" s="7" t="str">
        <x:v>https://www.arc-tech.com/</x:v>
      </x:c>
      <x:c r="G70" t="str">
        <x:v>Amesbury</x:v>
      </x:c>
      <x:c r="H70" s="8" t="str">
        <x:v>Prospeo</x:v>
      </x:c>
      <x:c r="I70" s="8" t="str">
        <x:v>Not Started</x:v>
      </x:c>
      <x:c r="J70" s="8" t="str">
        <x:v>MID_MANUFACTURING</x:v>
      </x:c>
      <x:c r="K70" s="7" t="str">
        <x:f>IFERROR(VLOOKUP(J70,'TARGETING_RULES'!$A$6:$D$55,4,FALSE),"")</x:f>
        <x:v>Plant Manager &gt; Operations Director &gt; HR Director &gt; Training Manager &gt; Safety Manager &gt; President &gt; CEO</x:v>
      </x:c>
    </x:row>
    <x:row r="71" ht="42" customHeight="1">
      <x:c r="A71" t="str">
        <x:v>ARCH Medical &amp; Aerospace- Woburn</x:v>
      </x:c>
      <x:c r="B71" t="str">
        <x:v>Medical Device Manufacturing</x:v>
      </x:c>
      <x:c r="C71" s="12" t="n">
        <x:v>286</x:v>
      </x:c>
      <x:c r="D71" s="13" t="str">
        <x:v>1,001-5,000</x:v>
      </x:c>
      <x:c r="E71" s="7" t="str">
        <x:v>https://www.linkedin.com/company/arch-medical-solutions</x:v>
      </x:c>
      <x:c r="F71" s="7" t="str">
        <x:v>https://arch-medical.com/</x:v>
      </x:c>
      <x:c r="G71" t="str">
        <x:v>Woburn</x:v>
      </x:c>
      <x:c r="H71" s="8" t="str">
        <x:v>Prospeo</x:v>
      </x:c>
      <x:c r="I71" s="8" t="str">
        <x:v>Not Started</x:v>
      </x:c>
      <x:c r="J71" s="8" t="str">
        <x:v>ENTERPRISE_MANUFACTURING</x:v>
      </x:c>
      <x:c r="K71" s="7" t="str">
        <x:f>IFERROR(VLOOKUP(J71,'TARGETING_RULES'!$A$6:$D$55,4,FALSE),"")</x:f>
        <x:v>Plant Manager &gt; Training Director &gt; L&amp;D Director &gt; Workforce Development Director &gt; Operations Director &gt; HR Director &gt; VP of HR</x:v>
      </x:c>
    </x:row>
    <x:row r="72" ht="42" customHeight="1">
      <x:c r="A72" t="str">
        <x:v>Asahi/America</x:v>
      </x:c>
      <x:c r="B72" t="str">
        <x:v>Plastics Manufacturing</x:v>
      </x:c>
      <x:c r="C72" s="12" t="n">
        <x:v>136</x:v>
      </x:c>
      <x:c r="D72" s="13" t="str">
        <x:v>201-500</x:v>
      </x:c>
      <x:c r="E72" s="7" t="str">
        <x:v>https://www.linkedin.com/company/asahi-america</x:v>
      </x:c>
      <x:c r="F72" s="7" t="str">
        <x:v>https://www.asahi-america.com/</x:v>
      </x:c>
      <x:c r="G72" t="str">
        <x:v>Lawrence</x:v>
      </x:c>
      <x:c r="H72" s="8" t="str">
        <x:v>Prospeo</x:v>
      </x:c>
      <x:c r="I72" s="8" t="str">
        <x:v>Not Started</x:v>
      </x:c>
      <x:c r="J72" s="8" t="str">
        <x:v>LARGE_MANUFACTURING</x:v>
      </x:c>
      <x:c r="K72" s="7" t="str">
        <x:f>IFERROR(VLOOKUP(J72,'TARGETING_RULES'!$A$6:$D$55,4,FALSE),"")</x:f>
        <x:v>Plant Manager &gt; Operations Director &gt; Training Director &gt; L&amp;D Director &gt; HR Director &gt; Safety Director &gt; VP of Operations</x:v>
      </x:c>
    </x:row>
    <x:row r="73" ht="42" customHeight="1">
      <x:c r="A73" t="str">
        <x:v>ASMPT</x:v>
      </x:c>
      <x:c r="B73" t="str">
        <x:v>Semiconductor Equipment Manufacturing</x:v>
      </x:c>
      <x:c r="C73" s="12" t="n">
        <x:v>1782</x:v>
      </x:c>
      <x:c r="D73" s="13" t="str">
        <x:v>10,001+</x:v>
      </x:c>
      <x:c r="E73" s="7" t="str">
        <x:v>https://www.linkedin.com/company/asmpt</x:v>
      </x:c>
      <x:c r="F73" s="7" t="str">
        <x:v>https://www.asmpt.com/</x:v>
      </x:c>
      <x:c r="G73" t="str">
        <x:v>Billerica</x:v>
      </x:c>
      <x:c r="H73" s="8" t="str">
        <x:v>Prospeo</x:v>
      </x:c>
      <x:c r="I73" s="8" t="str">
        <x:v>Not Started</x:v>
      </x:c>
      <x:c r="J73" s="8" t="str">
        <x:v>ENTERPRISE_MANUFACTURING</x:v>
      </x:c>
      <x:c r="K73" s="7" t="str">
        <x:f>IFERROR(VLOOKUP(J73,'TARGETING_RULES'!$A$6:$D$55,4,FALSE),"")</x:f>
        <x:v>Plant Manager &gt; Training Director &gt; L&amp;D Director &gt; Workforce Development Director &gt; Operations Director &gt; HR Director &gt; VP of HR</x:v>
      </x:c>
    </x:row>
    <x:row r="74" ht="42" customHeight="1">
      <x:c r="A74" t="str">
        <x:v>Associates of Cape Cod Inc.</x:v>
      </x:c>
      <x:c r="B74" t="str">
        <x:v>Biotechnology</x:v>
      </x:c>
      <x:c r="C74" s="12" t="n">
        <x:v>302</x:v>
      </x:c>
      <x:c r="D74" s="13" t="str">
        <x:v>201-500</x:v>
      </x:c>
      <x:c r="E74" s="7" t="str">
        <x:v>https://www.linkedin.com/company/associates-of-cape-cod</x:v>
      </x:c>
      <x:c r="F74" s="7" t="str">
        <x:v>https://acciusa.com/</x:v>
      </x:c>
      <x:c r="G74" t="str">
        <x:v>East Falmouth</x:v>
      </x:c>
      <x:c r="H74" s="8" t="str">
        <x:v>Prospeo</x:v>
      </x:c>
      <x:c r="I74" s="8" t="str">
        <x:v>Not Started</x:v>
      </x:c>
      <x:c r="J74" s="8" t="str">
        <x:v>LARGE_TECH_PROFESSIONAL</x:v>
      </x:c>
      <x:c r="K74" s="7" t="str">
        <x:f>IFERROR(VLOOKUP(J74,'TARGETING_RULES'!$A$6:$D$55,4,FALSE),"")</x:f>
        <x:v>L&amp;D Director &gt; People Operations Director &gt; Talent Development Director &gt; Organizational Development Director &gt; HR Director &gt; VP of People</x:v>
      </x:c>
    </x:row>
    <x:row r="75" ht="42" customHeight="1">
      <x:c r="A75" t="str">
        <x:v>Atrenne Computing Solutions</x:v>
      </x:c>
      <x:c r="B75" t="str">
        <x:v>Computer Hardware Manufacturing</x:v>
      </x:c>
      <x:c r="C75" s="12" t="n">
        <x:v>78</x:v>
      </x:c>
      <x:c r="D75" s="13" t="str">
        <x:v>201-500</x:v>
      </x:c>
      <x:c r="E75" s="7" t="str">
        <x:v>https://www.linkedin.com/company/atrenne</x:v>
      </x:c>
      <x:c r="F75" s="7" t="str">
        <x:v>https://www.atrenne.com/</x:v>
      </x:c>
      <x:c r="G75" t="str">
        <x:v>Brockton</x:v>
      </x:c>
      <x:c r="H75" s="8" t="str">
        <x:v>Prospeo</x:v>
      </x:c>
      <x:c r="I75" s="8" t="str">
        <x:v>Not Started</x:v>
      </x:c>
      <x:c r="J75" s="8" t="str">
        <x:v>LARGE_MANUFACTURING</x:v>
      </x:c>
      <x:c r="K75" s="7" t="str">
        <x:f>IFERROR(VLOOKUP(J75,'TARGETING_RULES'!$A$6:$D$55,4,FALSE),"")</x:f>
        <x:v>Plant Manager &gt; Operations Director &gt; Training Director &gt; L&amp;D Director &gt; HR Director &gt; Safety Director &gt; VP of Operations</x:v>
      </x:c>
    </x:row>
    <x:row r="76" ht="42" customHeight="1">
      <x:c r="A76" t="str">
        <x:v>Avid Engineers</x:v>
      </x:c>
      <x:c r="B76" t="str">
        <x:v>Engineering Services</x:v>
      </x:c>
      <x:c r="C76" s="12" t="n">
        <x:v>62</x:v>
      </x:c>
      <x:c r="D76" s="13" t="str">
        <x:v>11-50</x:v>
      </x:c>
      <x:c r="E76" s="7" t="str">
        <x:v>https://www.linkedin.com/company/avid-engineers</x:v>
      </x:c>
      <x:c r="F76" s="7" t="str">
        <x:v>https://avidengineers.com/</x:v>
      </x:c>
      <x:c r="G76" t="str">
        <x:v>Boston</x:v>
      </x:c>
      <x:c r="H76" s="8" t="str">
        <x:v>Prospeo</x:v>
      </x:c>
      <x:c r="I76" s="8" t="str">
        <x:v>Not Started</x:v>
      </x:c>
      <x:c r="J76" s="8" t="str">
        <x:v>MID_TECH_PROFESSIONAL</x:v>
      </x:c>
      <x:c r="K76" s="7" t="str">
        <x:f>IFERROR(VLOOKUP(J76,'TARGETING_RULES'!$A$6:$D$55,4,FALSE),"")</x:f>
        <x:v>People Operations Director &gt; HR Director &gt; L&amp;D Manager &gt; Talent Development Manager &gt; Operations Director &gt; Managing Partner &gt; CEO</x:v>
      </x:c>
    </x:row>
    <x:row r="77" ht="42" customHeight="1">
      <x:c r="A77" t="str">
        <x:v>B &amp; E Tool Company Inc</x:v>
      </x:c>
      <x:c r="B77" t="str">
        <x:v>Precision Manufacturing</x:v>
      </x:c>
      <x:c r="C77" s="12" t="str">
        <x:v>Not visible</x:v>
      </x:c>
      <x:c r="D77" s="13" t="str">
        <x:v>Not visible</x:v>
      </x:c>
      <x:c r="E77" s="7" t="str">
        <x:v>Not verified</x:v>
      </x:c>
      <x:c r="F77" s="7" t="str">
        <x:v>https://www.kineticengines.com/</x:v>
      </x:c>
      <x:c r="G77" t="str">
        <x:v>Westfield</x:v>
      </x:c>
      <x:c r="H77" s="8" t="str">
        <x:v>Prospeo</x:v>
      </x:c>
      <x:c r="I77" s="8" t="str">
        <x:v>Not Started</x:v>
      </x:c>
      <x:c r="J77" s="8" t="str">
        <x:v>UNKNOWN_MANUFACTURING</x:v>
      </x:c>
      <x:c r="K77" s="7" t="str">
        <x:f>IFERROR(VLOOKUP(J77,'TARGETING_RULES'!$A$6:$D$55,4,FALSE),"")</x:f>
        <x:v>Owner &gt; President &gt; CEO &gt; Plant Manager &gt; Operations Director &gt; Training Manager &gt; HR Director</x:v>
      </x:c>
    </x:row>
    <x:row r="78" ht="42" customHeight="1">
      <x:c r="A78" t="str">
        <x:v>Backer Hotwatt</x:v>
      </x:c>
      <x:c r="B78" t="str">
        <x:v>Electrical Equipment Manufacturing</x:v>
      </x:c>
      <x:c r="C78" s="12" t="n">
        <x:v>44</x:v>
      </x:c>
      <x:c r="D78" s="13" t="str">
        <x:v>51-200</x:v>
      </x:c>
      <x:c r="E78" s="7" t="str">
        <x:v>https://www.linkedin.com/company/backer-hotwatt</x:v>
      </x:c>
      <x:c r="F78" s="7" t="str">
        <x:v>https://www.hotwatt.com/</x:v>
      </x:c>
      <x:c r="G78" t="str">
        <x:v>Danvers</x:v>
      </x:c>
      <x:c r="H78" s="8" t="str">
        <x:v>Prospeo</x:v>
      </x:c>
      <x:c r="I78" s="8" t="str">
        <x:v>Not Started</x:v>
      </x:c>
      <x:c r="J78" s="8" t="str">
        <x:v>MID_MANUFACTURING</x:v>
      </x:c>
      <x:c r="K78" s="7" t="str">
        <x:f>IFERROR(VLOOKUP(J78,'TARGETING_RULES'!$A$6:$D$55,4,FALSE),"")</x:f>
        <x:v>Plant Manager &gt; Operations Director &gt; HR Director &gt; Training Manager &gt; Safety Manager &gt; President &gt; CEO</x:v>
      </x:c>
    </x:row>
    <x:row r="79" ht="42" customHeight="1">
      <x:c r="A79" t="str">
        <x:v>Bake-N-Joy Foods</x:v>
      </x:c>
      <x:c r="B79" t="str">
        <x:v>Food Manufacturing</x:v>
      </x:c>
      <x:c r="C79" s="12" t="n">
        <x:v>159</x:v>
      </x:c>
      <x:c r="D79" s="13" t="str">
        <x:v>201-500</x:v>
      </x:c>
      <x:c r="E79" s="7" t="str">
        <x:v>https://www.linkedin.com/company/bake%27n-joy-foods-inc.</x:v>
      </x:c>
      <x:c r="F79" s="7" t="str">
        <x:v>https://www.bakenjoy.com/</x:v>
      </x:c>
      <x:c r="G79" t="str">
        <x:v>North Andover</x:v>
      </x:c>
      <x:c r="H79" s="8" t="str">
        <x:v>Prospeo</x:v>
      </x:c>
      <x:c r="I79" s="8" t="str">
        <x:v>Not Started</x:v>
      </x:c>
      <x:c r="J79" s="8" t="str">
        <x:v>LARGE_MANUFACTURING</x:v>
      </x:c>
      <x:c r="K79" s="7" t="str">
        <x:f>IFERROR(VLOOKUP(J79,'TARGETING_RULES'!$A$6:$D$55,4,FALSE),"")</x:f>
        <x:v>Plant Manager &gt; Operations Director &gt; Training Director &gt; L&amp;D Director &gt; HR Director &gt; Safety Director &gt; VP of Operations</x:v>
      </x:c>
    </x:row>
    <x:row r="80" ht="42" customHeight="1">
      <x:c r="A80" t="str">
        <x:v>Bertolino Foods</x:v>
      </x:c>
      <x:c r="B80" t="str">
        <x:v>Food Manufacturing</x:v>
      </x:c>
      <x:c r="C80" s="12" t="n">
        <x:v>54</x:v>
      </x:c>
      <x:c r="D80" s="13" t="str">
        <x:v>51-200</x:v>
      </x:c>
      <x:c r="E80" s="7" t="str">
        <x:v>https://www.linkedin.com/company/bertolino-foods</x:v>
      </x:c>
      <x:c r="F80" s="7" t="str">
        <x:v>https://bertolinofoods.com/</x:v>
      </x:c>
      <x:c r="G80" t="str">
        <x:v>Peabody</x:v>
      </x:c>
      <x:c r="H80" s="8" t="str">
        <x:v>Prospeo</x:v>
      </x:c>
      <x:c r="I80" s="8" t="str">
        <x:v>Not Started</x:v>
      </x:c>
      <x:c r="J80" s="8" t="str">
        <x:v>MID_MANUFACTURING</x:v>
      </x:c>
      <x:c r="K80" s="7" t="str">
        <x:f>IFERROR(VLOOKUP(J80,'TARGETING_RULES'!$A$6:$D$55,4,FALSE),"")</x:f>
        <x:v>Plant Manager &gt; Operations Director &gt; HR Director &gt; Training Manager &gt; Safety Manager &gt; President &gt; CEO</x:v>
      </x:c>
    </x:row>
    <x:row r="81" ht="42" customHeight="1">
      <x:c r="A81" t="str">
        <x:v>Bevi</x:v>
      </x:c>
      <x:c r="B81" t="str">
        <x:v>Beverage Equipment &amp; Technology</x:v>
      </x:c>
      <x:c r="C81" s="12" t="n">
        <x:v>403</x:v>
      </x:c>
      <x:c r="D81" s="13" t="str">
        <x:v>201-500</x:v>
      </x:c>
      <x:c r="E81" s="7" t="str">
        <x:v>https://www.linkedin.com/company/bevi</x:v>
      </x:c>
      <x:c r="F81" s="7" t="str">
        <x:v>https://bevi.co/</x:v>
      </x:c>
      <x:c r="G81" t="str">
        <x:v>Boston</x:v>
      </x:c>
      <x:c r="H81" s="8" t="str">
        <x:v>Prospeo</x:v>
      </x:c>
      <x:c r="I81" s="8" t="str">
        <x:v>Not Started</x:v>
      </x:c>
      <x:c r="J81" s="8" t="str">
        <x:v>LARGE_MANUFACTURING</x:v>
      </x:c>
      <x:c r="K81" s="7" t="str">
        <x:f>IFERROR(VLOOKUP(J81,'TARGETING_RULES'!$A$6:$D$55,4,FALSE),"")</x:f>
        <x:v>Plant Manager &gt; Operations Director &gt; Training Director &gt; L&amp;D Director &gt; HR Director &gt; Safety Director &gt; VP of Operations</x:v>
      </x:c>
    </x:row>
    <x:row r="82" ht="42" customHeight="1">
      <x:c r="A82" t="str">
        <x:v>Blackbird Doughnuts &amp; Sally's Sandwiches</x:v>
      </x:c>
      <x:c r="B82" t="str">
        <x:v>Restaurants</x:v>
      </x:c>
      <x:c r="C82" s="12" t="n">
        <x:v>4</x:v>
      </x:c>
      <x:c r="D82" s="13" t="str">
        <x:v>11-50</x:v>
      </x:c>
      <x:c r="E82" s="7" t="str">
        <x:v>https://www.linkedin.com/company/blackbird-doughnuts</x:v>
      </x:c>
      <x:c r="F82" s="7" t="str">
        <x:v>https://www.blackbirddoughnuts.com/; https://www.sallyssandwiches.com/</x:v>
      </x:c>
      <x:c r="G82" t="str">
        <x:v>Boston</x:v>
      </x:c>
      <x:c r="H82" s="8" t="str">
        <x:v>Prospeo</x:v>
      </x:c>
      <x:c r="I82" s="8" t="str">
        <x:v>Not Started</x:v>
      </x:c>
      <x:c r="J82" s="8" t="str">
        <x:v>SMALL_HOSPITALITY_RETAIL</x:v>
      </x:c>
      <x:c r="K82" s="7" t="str">
        <x:f>IFERROR(VLOOKUP(J82,'TARGETING_RULES'!$A$6:$D$55,4,FALSE),"")</x:f>
        <x:v>Owner &gt; Founder &gt; Co-Founder &gt; President &gt; CEO &gt; General Manager &gt; Operations Manager &gt; Training Manager &gt; HR Manager</x:v>
      </x:c>
    </x:row>
    <x:row r="83" ht="42" customHeight="1">
      <x:c r="A83" t="str">
        <x:v>Blue Q Corporation</x:v>
      </x:c>
      <x:c r="B83" t="str">
        <x:v>Consumer Products Manufacturing</x:v>
      </x:c>
      <x:c r="C83" s="12" t="n">
        <x:v>28</x:v>
      </x:c>
      <x:c r="D83" s="13" t="str">
        <x:v>51-200</x:v>
      </x:c>
      <x:c r="E83" s="7" t="str">
        <x:v>https://www.linkedin.com/company/blue-q</x:v>
      </x:c>
      <x:c r="F83" s="7" t="str">
        <x:v>https://www.blueq.com/</x:v>
      </x:c>
      <x:c r="G83" t="str">
        <x:v>Pittsfield</x:v>
      </x:c>
      <x:c r="H83" s="8" t="str">
        <x:v>Prospeo</x:v>
      </x:c>
      <x:c r="I83" s="8" t="str">
        <x:v>Not Started</x:v>
      </x:c>
      <x:c r="J83" s="8" t="str">
        <x:v>MID_MANUFACTURING</x:v>
      </x:c>
      <x:c r="K83" s="7" t="str">
        <x:f>IFERROR(VLOOKUP(J83,'TARGETING_RULES'!$A$6:$D$55,4,FALSE),"")</x:f>
        <x:v>Plant Manager &gt; Operations Director &gt; HR Director &gt; Training Manager &gt; Safety Manager &gt; President &gt; CEO</x:v>
      </x:c>
    </x:row>
    <x:row r="84" ht="42" customHeight="1">
      <x:c r="A84" t="str">
        <x:v>Bon Me Foods</x:v>
      </x:c>
      <x:c r="B84" t="str">
        <x:v>Restaurants</x:v>
      </x:c>
      <x:c r="C84" s="12" t="n">
        <x:v>34</x:v>
      </x:c>
      <x:c r="D84" s="13" t="str">
        <x:v>51-200</x:v>
      </x:c>
      <x:c r="E84" s="7" t="str">
        <x:v>https://www.linkedin.com/company/bon-me</x:v>
      </x:c>
      <x:c r="F84" s="7" t="str">
        <x:v>https://www.bonmetruck.com/</x:v>
      </x:c>
      <x:c r="G84" t="str">
        <x:v>Boston</x:v>
      </x:c>
      <x:c r="H84" s="8" t="str">
        <x:v>Prospeo</x:v>
      </x:c>
      <x:c r="I84" s="8" t="str">
        <x:v>Not Started</x:v>
      </x:c>
      <x:c r="J84" s="8" t="str">
        <x:v>MID_HOSPITALITY_RETAIL</x:v>
      </x:c>
      <x:c r="K84" s="7" t="str">
        <x:f>IFERROR(VLOOKUP(J84,'TARGETING_RULES'!$A$6:$D$55,4,FALSE),"")</x:f>
        <x:v>General Manager &gt; Operations Director &gt; Training Director &gt; Training Manager &gt; HR Director &gt; Regional Manager &gt; President &gt; CEO</x:v>
      </x:c>
    </x:row>
    <x:row r="85" ht="42" customHeight="1">
      <x:c r="A85" t="str">
        <x:v>Borg Design</x:v>
      </x:c>
      <x:c r="B85" t="str">
        <x:v>Precision Manufacturing</x:v>
      </x:c>
      <x:c r="C85" s="12" t="n">
        <x:v>26</x:v>
      </x:c>
      <x:c r="D85" s="13" t="str">
        <x:v>11-50</x:v>
      </x:c>
      <x:c r="E85" s="7" t="str">
        <x:v>https://www.linkedin.com/company/borg-design-inc</x:v>
      </x:c>
      <x:c r="F85" s="7" t="str">
        <x:v>https://www.borgdesign.com/</x:v>
      </x:c>
      <x:c r="G85" t="str">
        <x:v>Hudson</x:v>
      </x:c>
      <x:c r="H85" s="8" t="str">
        <x:v>Prospeo</x:v>
      </x:c>
      <x:c r="I85" s="8" t="str">
        <x:v>Not Started</x:v>
      </x:c>
      <x:c r="J85" s="8" t="str">
        <x:v>SMALL_MANUFACTURING</x:v>
      </x:c>
      <x:c r="K85" s="7" t="str">
        <x:f>IFERROR(VLOOKUP(J85,'TARGETING_RULES'!$A$6:$D$55,4,FALSE),"")</x:f>
        <x:v>Owner &gt; Founder &gt; Co-Founder &gt; President &gt; CEO &gt; Plant Manager &gt; Operations Manager &gt; Training Manager &gt; HR Manager</x:v>
      </x:c>
    </x:row>
    <x:row r="86" ht="42" customHeight="1">
      <x:c r="A86" t="str">
        <x:v>Boston Centerless</x:v>
      </x:c>
      <x:c r="B86" t="str">
        <x:v>Precision Metals Manufacturing</x:v>
      </x:c>
      <x:c r="C86" s="12" t="n">
        <x:v>69</x:v>
      </x:c>
      <x:c r="D86" s="13" t="str">
        <x:v>51-200</x:v>
      </x:c>
      <x:c r="E86" s="7" t="str">
        <x:v>https://www.linkedin.com/company/boston-centerless</x:v>
      </x:c>
      <x:c r="F86" s="7" t="str">
        <x:v>https://www.bostoncenterless.com/</x:v>
      </x:c>
      <x:c r="G86" t="str">
        <x:v>Woburn</x:v>
      </x:c>
      <x:c r="H86" s="8" t="str">
        <x:v>Prospeo</x:v>
      </x:c>
      <x:c r="I86" s="8" t="str">
        <x:v>Not Started</x:v>
      </x:c>
      <x:c r="J86" s="8" t="str">
        <x:v>MID_MANUFACTURING</x:v>
      </x:c>
      <x:c r="K86" s="7" t="str">
        <x:f>IFERROR(VLOOKUP(J86,'TARGETING_RULES'!$A$6:$D$55,4,FALSE),"")</x:f>
        <x:v>Plant Manager &gt; Operations Director &gt; HR Director &gt; Training Manager &gt; Safety Manager &gt; President &gt; CEO</x:v>
      </x:c>
    </x:row>
    <x:row r="87" ht="42" customHeight="1">
      <x:c r="A87" t="str">
        <x:v>Boulevard Machine &amp; Gear</x:v>
      </x:c>
      <x:c r="B87" t="str">
        <x:v>Machinery Manufacturing</x:v>
      </x:c>
      <x:c r="C87" s="12" t="n">
        <x:v>10</x:v>
      </x:c>
      <x:c r="D87" s="13" t="str">
        <x:v>11-50</x:v>
      </x:c>
      <x:c r="E87" s="7" t="str">
        <x:v>https://www.linkedin.com/company/boulevard-machine-%26-gear-inc</x:v>
      </x:c>
      <x:c r="F87" s="7" t="str">
        <x:v>https://boulevardmachine.com/</x:v>
      </x:c>
      <x:c r="G87" t="str">
        <x:v>Westfield</x:v>
      </x:c>
      <x:c r="H87" s="8" t="str">
        <x:v>Prospeo</x:v>
      </x:c>
      <x:c r="I87" s="8" t="str">
        <x:v>Not Started</x:v>
      </x:c>
      <x:c r="J87" s="8" t="str">
        <x:v>SMALL_MANUFACTURING</x:v>
      </x:c>
      <x:c r="K87" s="7" t="str">
        <x:f>IFERROR(VLOOKUP(J87,'TARGETING_RULES'!$A$6:$D$55,4,FALSE),"")</x:f>
        <x:v>Owner &gt; Founder &gt; Co-Founder &gt; President &gt; CEO &gt; Plant Manager &gt; Operations Manager &gt; Training Manager &gt; HR Manager</x:v>
      </x:c>
    </x:row>
    <x:row r="88" ht="42" customHeight="1">
      <x:c r="A88" t="str">
        <x:v>Brooks Automation US LLC</x:v>
      </x:c>
      <x:c r="B88" t="str">
        <x:v>Automation Machinery Manufacturing</x:v>
      </x:c>
      <x:c r="C88" s="12" t="n">
        <x:v>2007</x:v>
      </x:c>
      <x:c r="D88" s="13" t="str">
        <x:v>1,001-5,000</x:v>
      </x:c>
      <x:c r="E88" s="7" t="str">
        <x:v>https://www.linkedin.com/company/brooks-automation</x:v>
      </x:c>
      <x:c r="F88" s="7" t="str">
        <x:v>https://www.brooks.com/</x:v>
      </x:c>
      <x:c r="G88" t="str">
        <x:v>Chelmsford</x:v>
      </x:c>
      <x:c r="H88" s="8" t="str">
        <x:v>Prospeo</x:v>
      </x:c>
      <x:c r="I88" s="8" t="str">
        <x:v>Not Started</x:v>
      </x:c>
      <x:c r="J88" s="8" t="str">
        <x:v>ENTERPRISE_MANUFACTURING</x:v>
      </x:c>
      <x:c r="K88" s="7" t="str">
        <x:f>IFERROR(VLOOKUP(J88,'TARGETING_RULES'!$A$6:$D$55,4,FALSE),"")</x:f>
        <x:v>Plant Manager &gt; Training Director &gt; L&amp;D Director &gt; Workforce Development Director &gt; Operations Director &gt; HR Director &gt; VP of HR</x:v>
      </x:c>
    </x:row>
    <x:row r="89" ht="42" customHeight="1">
      <x:c r="A89" t="str">
        <x:v>BSE Print</x:v>
      </x:c>
      <x:c r="B89" t="str">
        <x:v>Printing Services</x:v>
      </x:c>
      <x:c r="C89" s="12" t="n">
        <x:v>29</x:v>
      </x:c>
      <x:c r="D89" s="13" t="str">
        <x:v>11-50</x:v>
      </x:c>
      <x:c r="E89" s="7" t="str">
        <x:v>https://www.linkedin.com/company/bseprint</x:v>
      </x:c>
      <x:c r="F89" s="7" t="str">
        <x:v>https://bseprint.com/</x:v>
      </x:c>
      <x:c r="G89" t="str">
        <x:v>Mansfield</x:v>
      </x:c>
      <x:c r="H89" s="8" t="str">
        <x:v>Prospeo</x:v>
      </x:c>
      <x:c r="I89" s="8" t="str">
        <x:v>Not Started</x:v>
      </x:c>
      <x:c r="J89" s="8" t="str">
        <x:v>SMALL_MANUFACTURING</x:v>
      </x:c>
      <x:c r="K89" s="7" t="str">
        <x:f>IFERROR(VLOOKUP(J89,'TARGETING_RULES'!$A$6:$D$55,4,FALSE),"")</x:f>
        <x:v>Owner &gt; Founder &gt; Co-Founder &gt; President &gt; CEO &gt; Plant Manager &gt; Operations Manager &gt; Training Manager &gt; HR Manager</x:v>
      </x:c>
    </x:row>
    <x:row r="90" ht="42" customHeight="1">
      <x:c r="A90" t="str">
        <x:v>Built Environment Plus</x:v>
      </x:c>
      <x:c r="B90" t="str">
        <x:v>Green Building &amp; Sustainability</x:v>
      </x:c>
      <x:c r="C90" s="12" t="n">
        <x:v>23</x:v>
      </x:c>
      <x:c r="D90" s="13" t="str">
        <x:v>2-10</x:v>
      </x:c>
      <x:c r="E90" s="7" t="str">
        <x:v>https://www.linkedin.com/company/builtenvironmentplus</x:v>
      </x:c>
      <x:c r="F90" s="7" t="str">
        <x:v>https://www.builtenvironmentplus.com/</x:v>
      </x:c>
      <x:c r="G90" t="str">
        <x:v>Somerville</x:v>
      </x:c>
      <x:c r="H90" s="8" t="str">
        <x:v>Prospeo</x:v>
      </x:c>
      <x:c r="I90" s="8" t="str">
        <x:v>Not Started</x:v>
      </x:c>
      <x:c r="J90" s="8" t="str">
        <x:v>SMALL_CONSTRUCTION_TRADES</x:v>
      </x:c>
      <x:c r="K90" s="7" t="str">
        <x:f>IFERROR(VLOOKUP(J90,'TARGETING_RULES'!$A$6:$D$55,4,FALSE),"")</x:f>
        <x:v>Owner &gt; Founder &gt; Co-Founder &gt; President &gt; CEO &gt; Operations Manager &gt; Safety Manager &gt; Training Manager &gt; HR Manager</x:v>
      </x:c>
    </x:row>
    <x:row r="91" ht="42" customHeight="1">
      <x:c r="A91" t="str">
        <x:v>C&amp;W Facility Services</x:v>
      </x:c>
      <x:c r="B91" t="str">
        <x:v>Facilities Services</x:v>
      </x:c>
      <x:c r="C91" s="12" t="n">
        <x:v>4464</x:v>
      </x:c>
      <x:c r="D91" s="13" t="str">
        <x:v>10,001+</x:v>
      </x:c>
      <x:c r="E91" s="7" t="str">
        <x:v>https://www.linkedin.com/company/c%26w-services</x:v>
      </x:c>
      <x:c r="F91" s="7" t="str">
        <x:v>https://cwservices.com/</x:v>
      </x:c>
      <x:c r="G91" t="str">
        <x:v>Needham</x:v>
      </x:c>
      <x:c r="H91" s="8" t="str">
        <x:v>Prospeo</x:v>
      </x:c>
      <x:c r="I91" s="8" t="str">
        <x:v>Not Started</x:v>
      </x:c>
      <x:c r="J91" s="8" t="str">
        <x:v>ENTERPRISE_REAL_ESTATE_FACILITIES</x:v>
      </x:c>
      <x:c r="K91" s="7" t="str">
        <x:f>IFERROR(VLOOKUP(J91,'TARGETING_RULES'!$A$6:$D$55,4,FALSE),"")</x:f>
        <x:v>L&amp;D Director &gt; Training Director &gt; Workforce Development Director &gt; Facilities Director &gt; Operations Director &gt; HR Director</x:v>
      </x:c>
    </x:row>
    <x:row r="92" ht="42" customHeight="1">
      <x:c r="A92" t="str">
        <x:v>Caring Bees Healthcare</x:v>
      </x:c>
      <x:c r="B92" t="str">
        <x:v>Home Health Care Services</x:v>
      </x:c>
      <x:c r="C92" s="12" t="n">
        <x:v>23</x:v>
      </x:c>
      <x:c r="D92" s="13" t="str">
        <x:v>51-200</x:v>
      </x:c>
      <x:c r="E92" s="7" t="str">
        <x:v>https://www.linkedin.com/company/caring-bees-healthcare</x:v>
      </x:c>
      <x:c r="F92" s="7" t="str">
        <x:v>https://www.caringbeeshealthcare.com/</x:v>
      </x:c>
      <x:c r="G92" t="str">
        <x:v>Boston</x:v>
      </x:c>
      <x:c r="H92" s="8" t="str">
        <x:v>Prospeo</x:v>
      </x:c>
      <x:c r="I92" s="8" t="str">
        <x:v>Not Started</x:v>
      </x:c>
      <x:c r="J92" s="8" t="str">
        <x:v>MID_HEALTHCARE</x:v>
      </x:c>
      <x:c r="K92" s="7" t="str">
        <x:f>IFERROR(VLOOKUP(J92,'TARGETING_RULES'!$A$6:$D$55,4,FALSE),"")</x:f>
        <x:v>Workforce Development Director &gt; Clinical Education Director &gt; L&amp;D Director &gt; HR Director &gt; Executive Director &gt; Operations Director</x:v>
      </x:c>
    </x:row>
    <x:row r="93" ht="42" customHeight="1">
      <x:c r="A93" t="str">
        <x:v>Cartamundi East Longmeadow</x:v>
      </x:c>
      <x:c r="B93" t="str">
        <x:v>Games &amp; Toys Manufacturing</x:v>
      </x:c>
      <x:c r="C93" s="12" t="n">
        <x:v>732</x:v>
      </x:c>
      <x:c r="D93" s="13" t="str">
        <x:v>1,001-5,000</x:v>
      </x:c>
      <x:c r="E93" s="7" t="str">
        <x:v>https://www.linkedin.com/company/cartamundi</x:v>
      </x:c>
      <x:c r="F93" s="7" t="str">
        <x:v>https://cartamundi.com/</x:v>
      </x:c>
      <x:c r="G93" t="str">
        <x:v>East Longmeadow</x:v>
      </x:c>
      <x:c r="H93" s="8" t="str">
        <x:v>Prospeo</x:v>
      </x:c>
      <x:c r="I93" s="8" t="str">
        <x:v>Not Started</x:v>
      </x:c>
      <x:c r="J93" s="8" t="str">
        <x:v>ENTERPRISE_MANUFACTURING</x:v>
      </x:c>
      <x:c r="K93" s="7" t="str">
        <x:f>IFERROR(VLOOKUP(J93,'TARGETING_RULES'!$A$6:$D$55,4,FALSE),"")</x:f>
        <x:v>Plant Manager &gt; Training Director &gt; L&amp;D Director &gt; Workforce Development Director &gt; Operations Director &gt; HR Director &gt; VP of HR</x:v>
      </x:c>
    </x:row>
    <x:row r="94" ht="42" customHeight="1">
      <x:c r="A94" t="str">
        <x:v>Catania Oils</x:v>
      </x:c>
      <x:c r="B94" t="str">
        <x:v>Food Manufacturing</x:v>
      </x:c>
      <x:c r="C94" s="12" t="n">
        <x:v>135</x:v>
      </x:c>
      <x:c r="D94" s="13" t="str">
        <x:v>201-500</x:v>
      </x:c>
      <x:c r="E94" s="7" t="str">
        <x:v>https://www.linkedin.com/company/catania-spagna</x:v>
      </x:c>
      <x:c r="F94" s="7" t="str">
        <x:v>https://www.cataniaoils.com/</x:v>
      </x:c>
      <x:c r="G94" t="str">
        <x:v>Ayer</x:v>
      </x:c>
      <x:c r="H94" s="8" t="str">
        <x:v>Prospeo</x:v>
      </x:c>
      <x:c r="I94" s="8" t="str">
        <x:v>Not Started</x:v>
      </x:c>
      <x:c r="J94" s="8" t="str">
        <x:v>LARGE_MANUFACTURING</x:v>
      </x:c>
      <x:c r="K94" s="7" t="str">
        <x:f>IFERROR(VLOOKUP(J94,'TARGETING_RULES'!$A$6:$D$55,4,FALSE),"")</x:f>
        <x:v>Plant Manager &gt; Operations Director &gt; Training Director &gt; L&amp;D Director &gt; HR Director &gt; Safety Director &gt; VP of Operations</x:v>
      </x:c>
    </x:row>
    <x:row r="95" ht="42" customHeight="1">
      <x:c r="A95" t="str">
        <x:v>CBT Architects</x:v>
      </x:c>
      <x:c r="B95" t="str">
        <x:v>Architecture &amp; Planning</x:v>
      </x:c>
      <x:c r="C95" s="12" t="n">
        <x:v>192</x:v>
      </x:c>
      <x:c r="D95" s="13" t="str">
        <x:v>51-200</x:v>
      </x:c>
      <x:c r="E95" s="7" t="str">
        <x:v>https://www.linkedin.com/company/cbt-architects</x:v>
      </x:c>
      <x:c r="F95" s="7" t="str">
        <x:v>https://www.cbtarchitects.com/</x:v>
      </x:c>
      <x:c r="G95" t="str">
        <x:v>Boston</x:v>
      </x:c>
      <x:c r="H95" s="8" t="str">
        <x:v>Prospeo</x:v>
      </x:c>
      <x:c r="I95" s="8" t="str">
        <x:v>Not Started</x:v>
      </x:c>
      <x:c r="J95" s="8" t="str">
        <x:v>MID_TECH_PROFESSIONAL</x:v>
      </x:c>
      <x:c r="K95" s="7" t="str">
        <x:f>IFERROR(VLOOKUP(J95,'TARGETING_RULES'!$A$6:$D$55,4,FALSE),"")</x:f>
        <x:v>People Operations Director &gt; HR Director &gt; L&amp;D Manager &gt; Talent Development Manager &gt; Operations Director &gt; Managing Partner &gt; CEO</x:v>
      </x:c>
    </x:row>
    <x:row r="96" ht="42" customHeight="1">
      <x:c r="A96" t="str">
        <x:v>Children's Services of Roxbury</x:v>
      </x:c>
      <x:c r="B96" t="str">
        <x:v>Social Services</x:v>
      </x:c>
      <x:c r="C96" s="12" t="n">
        <x:v>240</x:v>
      </x:c>
      <x:c r="D96" s="13" t="str">
        <x:v>201-500</x:v>
      </x:c>
      <x:c r="E96" s="7" t="str">
        <x:v>https://www.linkedin.com/company/children-s-services-of-roxbury-inc-</x:v>
      </x:c>
      <x:c r="F96" s="7" t="str">
        <x:v>https://csrox.org/</x:v>
      </x:c>
      <x:c r="G96" t="str">
        <x:v>Boston</x:v>
      </x:c>
      <x:c r="H96" s="8" t="str">
        <x:v>Prospeo</x:v>
      </x:c>
      <x:c r="I96" s="8" t="str">
        <x:v>Not Started</x:v>
      </x:c>
      <x:c r="J96" s="8" t="str">
        <x:v>LARGE_NONPROFIT_SOCIAL</x:v>
      </x:c>
      <x:c r="K96" s="7" t="str">
        <x:f>IFERROR(VLOOKUP(J96,'TARGETING_RULES'!$A$6:$D$55,4,FALSE),"")</x:f>
        <x:v>Workforce Development Director &gt; L&amp;D Director &gt; Training Director &gt; Organizational Development Director &gt; HR Director &gt; COO &gt; Executive Director</x:v>
      </x:c>
    </x:row>
    <x:row r="97" ht="42" customHeight="1">
      <x:c r="A97" t="str">
        <x:v>City Experiences</x:v>
      </x:c>
      <x:c r="B97" t="str">
        <x:v>Travel &amp; Hospitality</x:v>
      </x:c>
      <x:c r="C97" s="12" t="n">
        <x:v>350</x:v>
      </x:c>
      <x:c r="D97" s="13" t="str">
        <x:v>1,001-5,000</x:v>
      </x:c>
      <x:c r="E97" s="7" t="str">
        <x:v>https://www.linkedin.com/company/cityexperiences</x:v>
      </x:c>
      <x:c r="F97" s="7" t="str">
        <x:v>https://www.cityexperiences.com/</x:v>
      </x:c>
      <x:c r="G97" t="str">
        <x:v>Boston</x:v>
      </x:c>
      <x:c r="H97" s="8" t="str">
        <x:v>Prospeo</x:v>
      </x:c>
      <x:c r="I97" s="8" t="str">
        <x:v>Not Started</x:v>
      </x:c>
      <x:c r="J97" s="8" t="str">
        <x:v>ENTERPRISE_HOSPITALITY_RETAIL</x:v>
      </x:c>
      <x:c r="K97" s="7" t="str">
        <x:f>IFERROR(VLOOKUP(J97,'TARGETING_RULES'!$A$6:$D$55,4,FALSE),"")</x:f>
        <x:v>L&amp;D Director &gt; Training Director &gt; Regional Operations Director &gt; HR Director &gt; VP of Operations &gt; VP of HR</x:v>
      </x:c>
    </x:row>
    <x:row r="98" ht="42" customHeight="1">
      <x:c r="A98" t="str">
        <x:v>City Fresh Foods</x:v>
      </x:c>
      <x:c r="B98" t="str">
        <x:v>Food Manufacturing &amp; Catering</x:v>
      </x:c>
      <x:c r="C98" s="12" t="n">
        <x:v>67</x:v>
      </x:c>
      <x:c r="D98" s="13" t="str">
        <x:v>51-200</x:v>
      </x:c>
      <x:c r="E98" s="7" t="str">
        <x:v>https://www.linkedin.com/company/cityfreshfoods</x:v>
      </x:c>
      <x:c r="F98" s="7" t="str">
        <x:v>https://www.cityfresh.com/</x:v>
      </x:c>
      <x:c r="G98" t="str">
        <x:v>Boston</x:v>
      </x:c>
      <x:c r="H98" s="8" t="str">
        <x:v>Prospeo</x:v>
      </x:c>
      <x:c r="I98" s="8" t="str">
        <x:v>Not Started</x:v>
      </x:c>
      <x:c r="J98" s="8" t="str">
        <x:v>MID_MANUFACTURING</x:v>
      </x:c>
      <x:c r="K98" s="7" t="str">
        <x:f>IFERROR(VLOOKUP(J98,'TARGETING_RULES'!$A$6:$D$55,4,FALSE),"")</x:f>
        <x:v>Plant Manager &gt; Operations Director &gt; HR Director &gt; Training Manager &gt; Safety Manager &gt; President &gt; CEO</x:v>
      </x:c>
    </x:row>
    <x:row r="99" ht="42" customHeight="1">
      <x:c r="A99" t="str">
        <x:v>City of Boston Credit Union</x:v>
      </x:c>
      <x:c r="B99" t="str">
        <x:v>Credit Union</x:v>
      </x:c>
      <x:c r="C99" s="12" t="n">
        <x:v>51</x:v>
      </x:c>
      <x:c r="D99" s="13" t="str">
        <x:v>51-200</x:v>
      </x:c>
      <x:c r="E99" s="7" t="str">
        <x:v>https://www.linkedin.com/company/city-of-boston-credit-union</x:v>
      </x:c>
      <x:c r="F99" s="7" t="str">
        <x:v>https://cityofbostoncu.com/</x:v>
      </x:c>
      <x:c r="G99" t="str">
        <x:v>Boston</x:v>
      </x:c>
      <x:c r="H99" s="8" t="str">
        <x:v>Prospeo</x:v>
      </x:c>
      <x:c r="I99" s="8" t="str">
        <x:v>Not Started</x:v>
      </x:c>
      <x:c r="J99" s="8" t="str">
        <x:v>MID_FINANCIAL_SERVICES</x:v>
      </x:c>
      <x:c r="K99" s="7" t="str">
        <x:f>IFERROR(VLOOKUP(J99,'TARGETING_RULES'!$A$6:$D$55,4,FALSE),"")</x:f>
        <x:v>HR Director &gt; L&amp;D Manager &gt; Training Manager &gt; COO &gt; Operations Director &gt; President &gt; CEO</x:v>
      </x:c>
    </x:row>
    <x:row r="100" ht="42" customHeight="1">
      <x:c r="A100" t="str">
        <x:v>Cityscapes Plant Care</x:v>
      </x:c>
      <x:c r="B100" t="str">
        <x:v>Landscaping &amp; Plant Care Services</x:v>
      </x:c>
      <x:c r="C100" s="12" t="str">
        <x:v>Not visible</x:v>
      </x:c>
      <x:c r="D100" s="13" t="str">
        <x:v>Not visible</x:v>
      </x:c>
      <x:c r="E100" s="7" t="str">
        <x:v>Not verified</x:v>
      </x:c>
      <x:c r="F100" s="7" t="str">
        <x:v>https://bostoncityscapes.com/</x:v>
      </x:c>
      <x:c r="G100" t="str">
        <x:v>Boston</x:v>
      </x:c>
      <x:c r="H100" s="8" t="str">
        <x:v>Prospeo</x:v>
      </x:c>
      <x:c r="I100" s="8" t="str">
        <x:v>Not Started</x:v>
      </x:c>
      <x:c r="J100" s="8" t="str">
        <x:v>UNKNOWN_CONSTRUCTION_TRADES</x:v>
      </x:c>
      <x:c r="K100" s="7" t="str">
        <x:f>IFERROR(VLOOKUP(J100,'TARGETING_RULES'!$A$6:$D$55,4,FALSE),"")</x:f>
        <x:v>Owner &gt; President &gt; CEO &gt; Operations Director &gt; Safety Manager &gt; Training Manager &gt; HR Director</x:v>
      </x:c>
    </x:row>
    <x:row r="101" ht="42" customHeight="1">
      <x:c r="A101" t="str">
        <x:v>ClearMotion, Inc.</x:v>
      </x:c>
      <x:c r="B101" t="str">
        <x:v>Automotive Technology</x:v>
      </x:c>
      <x:c r="C101" s="12" t="n">
        <x:v>113</x:v>
      </x:c>
      <x:c r="D101" s="13" t="str">
        <x:v>51-200</x:v>
      </x:c>
      <x:c r="E101" s="7" t="str">
        <x:v>https://www.linkedin.com/company/clearmotion-inc.</x:v>
      </x:c>
      <x:c r="F101" s="7" t="str">
        <x:v>https://www.clearmotion.com/</x:v>
      </x:c>
      <x:c r="G101" t="str">
        <x:v>Billerica</x:v>
      </x:c>
      <x:c r="H101" s="8" t="str">
        <x:v>Prospeo</x:v>
      </x:c>
      <x:c r="I101" s="8" t="str">
        <x:v>Not Started</x:v>
      </x:c>
      <x:c r="J101" s="8" t="str">
        <x:v>MID_TECH_PROFESSIONAL</x:v>
      </x:c>
      <x:c r="K101" s="7" t="str">
        <x:f>IFERROR(VLOOKUP(J101,'TARGETING_RULES'!$A$6:$D$55,4,FALSE),"")</x:f>
        <x:v>People Operations Director &gt; HR Director &gt; L&amp;D Manager &gt; Talent Development Manager &gt; Operations Director &gt; Managing Partner &gt; CEO</x:v>
      </x:c>
    </x:row>
    <x:row r="102" ht="42" customHeight="1">
      <x:c r="A102" t="str">
        <x:v>Colonial Saw</x:v>
      </x:c>
      <x:c r="B102" t="str">
        <x:v>Machinery Manufacturing</x:v>
      </x:c>
      <x:c r="C102" s="12" t="n">
        <x:v>31</x:v>
      </x:c>
      <x:c r="D102" s="13" t="str">
        <x:v>11-50</x:v>
      </x:c>
      <x:c r="E102" s="7" t="str">
        <x:v>https://www.linkedin.com/company/colonial-saw</x:v>
      </x:c>
      <x:c r="F102" s="7" t="str">
        <x:v>https://www.csaw.com/</x:v>
      </x:c>
      <x:c r="G102" t="str">
        <x:v>Kingston</x:v>
      </x:c>
      <x:c r="H102" s="8" t="str">
        <x:v>Prospeo</x:v>
      </x:c>
      <x:c r="I102" s="8" t="str">
        <x:v>Not Started</x:v>
      </x:c>
      <x:c r="J102" s="8" t="str">
        <x:v>SMALL_MANUFACTURING</x:v>
      </x:c>
      <x:c r="K102" s="7" t="str">
        <x:f>IFERROR(VLOOKUP(J102,'TARGETING_RULES'!$A$6:$D$55,4,FALSE),"")</x:f>
        <x:v>Owner &gt; Founder &gt; Co-Founder &gt; President &gt; CEO &gt; Plant Manager &gt; Operations Manager &gt; Training Manager &gt; HR Manager</x:v>
      </x:c>
    </x:row>
    <x:row r="103" ht="42" customHeight="1">
      <x:c r="A103" t="str">
        <x:v>Comalli Group</x:v>
      </x:c>
      <x:c r="B103" t="str">
        <x:v>Electrical Contracting</x:v>
      </x:c>
      <x:c r="C103" s="12" t="n">
        <x:v>56</x:v>
      </x:c>
      <x:c r="D103" s="13" t="str">
        <x:v>51-200</x:v>
      </x:c>
      <x:c r="E103" s="7" t="str">
        <x:v>https://www.linkedin.com/company/comalli-group-inc-</x:v>
      </x:c>
      <x:c r="F103" s="7" t="str">
        <x:v>https://www.comalli.com/</x:v>
      </x:c>
      <x:c r="G103" t="str">
        <x:v>Pittsfield</x:v>
      </x:c>
      <x:c r="H103" s="8" t="str">
        <x:v>Prospeo</x:v>
      </x:c>
      <x:c r="I103" s="8" t="str">
        <x:v>Not Started</x:v>
      </x:c>
      <x:c r="J103" s="8" t="str">
        <x:v>MID_CONSTRUCTION_TRADES</x:v>
      </x:c>
      <x:c r="K103" s="7" t="str">
        <x:f>IFERROR(VLOOKUP(J103,'TARGETING_RULES'!$A$6:$D$55,4,FALSE),"")</x:f>
        <x:v>Operations Director &gt; Safety Director &gt; Safety Manager &gt; Training Manager &gt; HR Director &gt; HR Manager &gt; President &gt; CEO</x:v>
      </x:c>
    </x:row>
    <x:row r="104" ht="42" customHeight="1">
      <x:c r="A104" t="str">
        <x:v>Commonwealth Soap &amp; Toiletries</x:v>
      </x:c>
      <x:c r="B104" t="str">
        <x:v>Personal Care Product Manufacturing</x:v>
      </x:c>
      <x:c r="C104" s="12" t="n">
        <x:v>35</x:v>
      </x:c>
      <x:c r="D104" s="13" t="str">
        <x:v>51-200</x:v>
      </x:c>
      <x:c r="E104" s="7" t="str">
        <x:v>https://www.linkedin.com/company/commonwealth-soap-and-toiletries</x:v>
      </x:c>
      <x:c r="F104" s="7" t="str">
        <x:v>https://www.cstsoap.com/</x:v>
      </x:c>
      <x:c r="G104" t="str">
        <x:v>Fall River</x:v>
      </x:c>
      <x:c r="H104" s="8" t="str">
        <x:v>Prospeo</x:v>
      </x:c>
      <x:c r="I104" s="8" t="str">
        <x:v>Not Started</x:v>
      </x:c>
      <x:c r="J104" s="8" t="str">
        <x:v>MID_MANUFACTURING</x:v>
      </x:c>
      <x:c r="K104" s="7" t="str">
        <x:f>IFERROR(VLOOKUP(J104,'TARGETING_RULES'!$A$6:$D$55,4,FALSE),"")</x:f>
        <x:v>Plant Manager &gt; Operations Director &gt; HR Director &gt; Training Manager &gt; Safety Manager &gt; President &gt; CEO</x:v>
      </x:c>
    </x:row>
    <x:row r="105" ht="42" customHeight="1">
      <x:c r="A105" t="str">
        <x:v>Compare Supermarket</x:v>
      </x:c>
      <x:c r="B105" t="str">
        <x:v>Grocery Retail</x:v>
      </x:c>
      <x:c r="C105" s="12" t="str">
        <x:v>Not visible</x:v>
      </x:c>
      <x:c r="D105" s="13" t="str">
        <x:v>Not visible</x:v>
      </x:c>
      <x:c r="E105" s="7" t="str">
        <x:v>Not verified</x:v>
      </x:c>
      <x:c r="F105" s="7" t="str">
        <x:v>https://www.shopcomparefoods.com/</x:v>
      </x:c>
      <x:c r="G105" t="str">
        <x:v>Chelsea</x:v>
      </x:c>
      <x:c r="H105" s="8" t="str">
        <x:v>Prospeo</x:v>
      </x:c>
      <x:c r="I105" s="8" t="str">
        <x:v>Not Started</x:v>
      </x:c>
      <x:c r="J105" s="8" t="str">
        <x:v>UNKNOWN_HOSPITALITY_RETAIL</x:v>
      </x:c>
      <x:c r="K105" s="7" t="str">
        <x:f>IFERROR(VLOOKUP(J105,'TARGETING_RULES'!$A$6:$D$55,4,FALSE),"")</x:f>
        <x:v>Owner &gt; President &gt; CEO &gt; General Manager &gt; Operations Director &gt; Training Manager &gt; HR Director</x:v>
      </x:c>
    </x:row>
    <x:row r="106" ht="42" customHeight="1">
      <x:c r="A106" t="str">
        <x:v>Consolidated Sterilizer Systems</x:v>
      </x:c>
      <x:c r="B106" t="str">
        <x:v>Medical Equipment Manufacturing</x:v>
      </x:c>
      <x:c r="C106" s="12" t="n">
        <x:v>38</x:v>
      </x:c>
      <x:c r="D106" s="13" t="str">
        <x:v>11-50</x:v>
      </x:c>
      <x:c r="E106" s="7" t="str">
        <x:v>https://www.linkedin.com/company/consolidated-sterilizer-systems</x:v>
      </x:c>
      <x:c r="F106" s="7" t="str">
        <x:v>https://consteril.com/</x:v>
      </x:c>
      <x:c r="G106" t="str">
        <x:v>Billerica</x:v>
      </x:c>
      <x:c r="H106" s="8" t="str">
        <x:v>Prospeo</x:v>
      </x:c>
      <x:c r="I106" s="8" t="str">
        <x:v>Not Started</x:v>
      </x:c>
      <x:c r="J106" s="8" t="str">
        <x:v>SMALL_MANUFACTURING</x:v>
      </x:c>
      <x:c r="K106" s="7" t="str">
        <x:f>IFERROR(VLOOKUP(J106,'TARGETING_RULES'!$A$6:$D$55,4,FALSE),"")</x:f>
        <x:v>Owner &gt; Founder &gt; Co-Founder &gt; President &gt; CEO &gt; Plant Manager &gt; Operations Manager &gt; Training Manager &gt; HR Manager</x:v>
      </x:c>
    </x:row>
    <x:row r="107" ht="42" customHeight="1">
      <x:c r="A107" t="str">
        <x:v>Courtyard Boston Downtown</x:v>
      </x:c>
      <x:c r="B107" t="str">
        <x:v>Hotels &amp; Hospitality</x:v>
      </x:c>
      <x:c r="C107" s="12" t="str">
        <x:v>Not visible</x:v>
      </x:c>
      <x:c r="D107" s="13" t="str">
        <x:v>Not visible</x:v>
      </x:c>
      <x:c r="E107" s="7" t="str">
        <x:v>Not verified</x:v>
      </x:c>
      <x:c r="F107" s="7" t="str">
        <x:v>https://www.marriott.com/en-us/hotels/bosdm-courtyard-boston-downtown/overview/</x:v>
      </x:c>
      <x:c r="G107" t="str">
        <x:v>Boston</x:v>
      </x:c>
      <x:c r="H107" s="8" t="str">
        <x:v>Prospeo</x:v>
      </x:c>
      <x:c r="I107" s="8" t="str">
        <x:v>Not Started</x:v>
      </x:c>
      <x:c r="J107" s="8" t="str">
        <x:v>UNKNOWN_HOSPITALITY_RETAIL</x:v>
      </x:c>
      <x:c r="K107" s="7" t="str">
        <x:f>IFERROR(VLOOKUP(J107,'TARGETING_RULES'!$A$6:$D$55,4,FALSE),"")</x:f>
        <x:v>Owner &gt; President &gt; CEO &gt; General Manager &gt; Operations Director &gt; Training Manager &gt; HR Director</x:v>
      </x:c>
    </x:row>
    <x:row r="108" ht="42" customHeight="1">
      <x:c r="A108" t="str">
        <x:v>Creative Office Resources</x:v>
      </x:c>
      <x:c r="B108" t="str">
        <x:v>Office Furniture &amp; Workplace Design</x:v>
      </x:c>
      <x:c r="C108" s="12" t="n">
        <x:v>685</x:v>
      </x:c>
      <x:c r="D108" s="13" t="str">
        <x:v>501-1,000</x:v>
      </x:c>
      <x:c r="E108" s="7" t="str">
        <x:v>https://www.linkedin.com/company/creative-office-resources</x:v>
      </x:c>
      <x:c r="F108" s="7" t="str">
        <x:v>https://www.creativeofficeresources.com/</x:v>
      </x:c>
      <x:c r="G108" t="str">
        <x:v>Boston</x:v>
      </x:c>
      <x:c r="H108" s="8" t="str">
        <x:v>Prospeo</x:v>
      </x:c>
      <x:c r="I108" s="8" t="str">
        <x:v>Not Started</x:v>
      </x:c>
      <x:c r="J108" s="8" t="str">
        <x:v>LARGE_REAL_ESTATE_FACILITIES</x:v>
      </x:c>
      <x:c r="K108" s="7" t="str">
        <x:f>IFERROR(VLOOKUP(J108,'TARGETING_RULES'!$A$6:$D$55,4,FALSE),"")</x:f>
        <x:v>Facilities Director &gt; Operations Director &gt; Training Director &gt; L&amp;D Director &gt; HR Director &gt; Regional Manager</x:v>
      </x:c>
    </x:row>
    <x:row r="109" ht="42" customHeight="1">
      <x:c r="A109" t="str">
        <x:v>Dan-Kar</x:v>
      </x:c>
      <x:c r="B109" t="str">
        <x:v>Plastics Manufacturing</x:v>
      </x:c>
      <x:c r="C109" s="12" t="n">
        <x:v>7</x:v>
      </x:c>
      <x:c r="D109" s="13" t="str">
        <x:v>11-50</x:v>
      </x:c>
      <x:c r="E109" s="7" t="str">
        <x:v>https://www.linkedin.com/company/dan-kar</x:v>
      </x:c>
      <x:c r="F109" s="7" t="str">
        <x:v>https://dan-kar.com/</x:v>
      </x:c>
      <x:c r="G109" t="str">
        <x:v>Woburn</x:v>
      </x:c>
      <x:c r="H109" s="8" t="str">
        <x:v>Prospeo</x:v>
      </x:c>
      <x:c r="I109" s="8" t="str">
        <x:v>Not Started</x:v>
      </x:c>
      <x:c r="J109" s="8" t="str">
        <x:v>SMALL_MANUFACTURING</x:v>
      </x:c>
      <x:c r="K109" s="7" t="str">
        <x:f>IFERROR(VLOOKUP(J109,'TARGETING_RULES'!$A$6:$D$55,4,FALSE),"")</x:f>
        <x:v>Owner &gt; Founder &gt; Co-Founder &gt; President &gt; CEO &gt; Plant Manager &gt; Operations Manager &gt; Training Manager &gt; HR Manager</x:v>
      </x:c>
    </x:row>
    <x:row r="110" ht="42" customHeight="1">
      <x:c r="A110" t="str">
        <x:v>Danvers Industrial Packaging</x:v>
      </x:c>
      <x:c r="B110" t="str">
        <x:v>Packaging &amp; Containers</x:v>
      </x:c>
      <x:c r="C110" s="12" t="n">
        <x:v>23</x:v>
      </x:c>
      <x:c r="D110" s="13" t="str">
        <x:v>11-50</x:v>
      </x:c>
      <x:c r="E110" s="7" t="str">
        <x:v>https://www.linkedin.com/company/danvers-industrial-packaging</x:v>
      </x:c>
      <x:c r="F110" s="7" t="str">
        <x:v>https://www.danpack.com/</x:v>
      </x:c>
      <x:c r="G110" t="str">
        <x:v>Beverly</x:v>
      </x:c>
      <x:c r="H110" s="8" t="str">
        <x:v>Prospeo</x:v>
      </x:c>
      <x:c r="I110" s="8" t="str">
        <x:v>Not Started</x:v>
      </x:c>
      <x:c r="J110" s="8" t="str">
        <x:v>SMALL_MANUFACTURING</x:v>
      </x:c>
      <x:c r="K110" s="7" t="str">
        <x:f>IFERROR(VLOOKUP(J110,'TARGETING_RULES'!$A$6:$D$55,4,FALSE),"")</x:f>
        <x:v>Owner &gt; Founder &gt; Co-Founder &gt; President &gt; CEO &gt; Plant Manager &gt; Operations Manager &gt; Training Manager &gt; HR Manager</x:v>
      </x:c>
    </x:row>
    <x:row r="111" ht="42" customHeight="1">
      <x:c r="A111" t="str">
        <x:v>Dean Cooperative Bank</x:v>
      </x:c>
      <x:c r="B111" t="str">
        <x:v>Banking</x:v>
      </x:c>
      <x:c r="C111" s="12" t="str">
        <x:v>Not visible</x:v>
      </x:c>
      <x:c r="D111" s="13" t="str">
        <x:v>Not visible</x:v>
      </x:c>
      <x:c r="E111" s="7" t="str">
        <x:v>Not verified</x:v>
      </x:c>
      <x:c r="F111" s="7" t="str">
        <x:v>https://www.deanbank.com/</x:v>
      </x:c>
      <x:c r="G111" t="str">
        <x:v>Franklin</x:v>
      </x:c>
      <x:c r="H111" s="8" t="str">
        <x:v>Prospeo</x:v>
      </x:c>
      <x:c r="I111" s="8" t="str">
        <x:v>Not Started</x:v>
      </x:c>
      <x:c r="J111" s="8" t="str">
        <x:v>UNKNOWN_FINANCIAL_SERVICES</x:v>
      </x:c>
      <x:c r="K111" s="7" t="str">
        <x:f>IFERROR(VLOOKUP(J111,'TARGETING_RULES'!$A$6:$D$55,4,FALSE),"")</x:f>
        <x:v>Owner &gt; President &gt; CEO &gt; Managing Partner &gt; HR Director &gt; Training Manager &gt; COO</x:v>
      </x:c>
    </x:row>
    <x:row r="112" ht="42" customHeight="1">
      <x:c r="A112" t="str">
        <x:v>DEM Biopharma</x:v>
      </x:c>
      <x:c r="B112" t="str">
        <x:v>Biotechnology Research</x:v>
      </x:c>
      <x:c r="C112" s="12" t="n">
        <x:v>20</x:v>
      </x:c>
      <x:c r="D112" s="13" t="str">
        <x:v>11-50</x:v>
      </x:c>
      <x:c r="E112" s="7" t="str">
        <x:v>https://www.linkedin.com/company/dem-biopharma-inc</x:v>
      </x:c>
      <x:c r="F112" s="7" t="str">
        <x:v>https://dembiopharma.com/</x:v>
      </x:c>
      <x:c r="G112" t="str">
        <x:v>Boston</x:v>
      </x:c>
      <x:c r="H112" s="8" t="str">
        <x:v>Prospeo</x:v>
      </x:c>
      <x:c r="I112" s="8" t="str">
        <x:v>Not Started</x:v>
      </x:c>
      <x:c r="J112" s="8" t="str">
        <x:v>SMALL_TECH_PROFESSIONAL</x:v>
      </x:c>
      <x:c r="K112" s="7" t="str">
        <x:f>IFERROR(VLOOKUP(J112,'TARGETING_RULES'!$A$6:$D$55,4,FALSE),"")</x:f>
        <x:v>Owner &gt; Founder &gt; Co-Founder &gt; President &gt; CEO &gt; Managing Partner &gt; COO &gt; People Operations Manager &gt; HR Manager</x:v>
      </x:c>
    </x:row>
    <x:row r="113" ht="42" customHeight="1">
      <x:c r="A113" t="str">
        <x:v>Dimeo Construction Company</x:v>
      </x:c>
      <x:c r="B113" t="str">
        <x:v>Construction</x:v>
      </x:c>
      <x:c r="C113" s="12" t="n">
        <x:v>317</x:v>
      </x:c>
      <x:c r="D113" s="13" t="str">
        <x:v>201-500</x:v>
      </x:c>
      <x:c r="E113" s="7" t="str">
        <x:v>https://www.linkedin.com/company/dimeo-construction-company</x:v>
      </x:c>
      <x:c r="F113" s="7" t="str">
        <x:v>https://dimeo.com/</x:v>
      </x:c>
      <x:c r="G113" t="str">
        <x:v>Boston</x:v>
      </x:c>
      <x:c r="H113" s="8" t="str">
        <x:v>Prospeo</x:v>
      </x:c>
      <x:c r="I113" s="8" t="str">
        <x:v>Not Started</x:v>
      </x:c>
      <x:c r="J113" s="8" t="str">
        <x:v>LARGE_CONSTRUCTION_TRADES</x:v>
      </x:c>
      <x:c r="K113" s="7" t="str">
        <x:f>IFERROR(VLOOKUP(J113,'TARGETING_RULES'!$A$6:$D$55,4,FALSE),"")</x:f>
        <x:v>Operations Director &gt; Safety Director &gt; Training Director &gt; L&amp;D Director &gt; HR Director &gt; VP of Operations</x:v>
      </x:c>
    </x:row>
    <x:row r="114" ht="42" customHeight="1">
      <x:c r="A114" t="str">
        <x:v>Eagle Stainless Tube &amp; Fabrication</x:v>
      </x:c>
      <x:c r="B114" t="str">
        <x:v>Metal Fabrication</x:v>
      </x:c>
      <x:c r="C114" s="12" t="n">
        <x:v>34</x:v>
      </x:c>
      <x:c r="D114" s="13" t="str">
        <x:v>51-200</x:v>
      </x:c>
      <x:c r="E114" s="7" t="str">
        <x:v>https://www.linkedin.com/company/eagle-stainless-tube-%26-fabrication-inc-</x:v>
      </x:c>
      <x:c r="F114" s="7" t="str">
        <x:v>https://eagletube.com/</x:v>
      </x:c>
      <x:c r="G114" t="str">
        <x:v>Franklin</x:v>
      </x:c>
      <x:c r="H114" s="8" t="str">
        <x:v>Prospeo</x:v>
      </x:c>
      <x:c r="I114" s="8" t="str">
        <x:v>Not Started</x:v>
      </x:c>
      <x:c r="J114" s="8" t="str">
        <x:v>MID_MANUFACTURING</x:v>
      </x:c>
      <x:c r="K114" s="7" t="str">
        <x:f>IFERROR(VLOOKUP(J114,'TARGETING_RULES'!$A$6:$D$55,4,FALSE),"")</x:f>
        <x:v>Plant Manager &gt; Operations Director &gt; HR Director &gt; Training Manager &gt; Safety Manager &gt; President &gt; CEO</x:v>
      </x:c>
    </x:row>
    <x:row r="115" ht="42" customHeight="1">
      <x:c r="A115" t="str">
        <x:v>Electronic Products</x:v>
      </x:c>
      <x:c r="B115" t="str">
        <x:v>Electronic Components Manufacturing</x:v>
      </x:c>
      <x:c r="C115" s="12" t="str">
        <x:v>Not visible</x:v>
      </x:c>
      <x:c r="D115" s="13" t="str">
        <x:v>51-200</x:v>
      </x:c>
      <x:c r="E115" s="7" t="str">
        <x:v>https://www.linkedin.com/company/electronic-products-epi</x:v>
      </x:c>
      <x:c r="F115" s="7" t="str">
        <x:v>https://epihermetics.com/</x:v>
      </x:c>
      <x:c r="G115" t="str">
        <x:v>Newburyport</x:v>
      </x:c>
      <x:c r="H115" s="8" t="str">
        <x:v>Prospeo</x:v>
      </x:c>
      <x:c r="I115" s="8" t="str">
        <x:v>Not Started</x:v>
      </x:c>
      <x:c r="J115" s="8" t="str">
        <x:v>MID_MANUFACTURING</x:v>
      </x:c>
      <x:c r="K115" s="7" t="str">
        <x:f>IFERROR(VLOOKUP(J115,'TARGETING_RULES'!$A$6:$D$55,4,FALSE),"")</x:f>
        <x:v>Plant Manager &gt; Operations Director &gt; HR Director &gt; Training Manager &gt; Safety Manager &gt; President &gt; CEO</x:v>
      </x:c>
    </x:row>
    <x:row r="116" ht="42" customHeight="1">
      <x:c r="A116" t="str">
        <x:v>Embrace Pathways to Wellness</x:v>
      </x:c>
      <x:c r="B116" t="str">
        <x:v>Behavioral Health Services</x:v>
      </x:c>
      <x:c r="C116" s="12" t="n">
        <x:v>39</x:v>
      </x:c>
      <x:c r="D116" s="13" t="str">
        <x:v>11-50</x:v>
      </x:c>
      <x:c r="E116" s="7" t="str">
        <x:v>https://www.linkedin.com/company/embrace-pathways-to-wellness</x:v>
      </x:c>
      <x:c r="F116" s="7" t="str">
        <x:v>https://embracepathways.com/</x:v>
      </x:c>
      <x:c r="G116" t="str">
        <x:v>Peabody</x:v>
      </x:c>
      <x:c r="H116" s="8" t="str">
        <x:v>Prospeo</x:v>
      </x:c>
      <x:c r="I116" s="8" t="str">
        <x:v>Not Started</x:v>
      </x:c>
      <x:c r="J116" s="8" t="str">
        <x:v>SMALL_HEALTHCARE</x:v>
      </x:c>
      <x:c r="K116" s="7" t="str">
        <x:f>IFERROR(VLOOKUP(J116,'TARGETING_RULES'!$A$6:$D$55,4,FALSE),"")</x:f>
        <x:v>Owner &gt; Founder &gt; Co-Founder &gt; President &gt; CEO &gt; Executive Director &gt; Practice Administrator &gt; HR Manager &gt; Clinical Education Manager</x:v>
      </x:c>
    </x:row>
    <x:row r="117" ht="42" customHeight="1">
      <x:c r="A117" t="str">
        <x:v>Energetiq</x:v>
      </x:c>
      <x:c r="B117" t="str">
        <x:v>Photonics Equipment Manufacturing</x:v>
      </x:c>
      <x:c r="C117" s="12" t="n">
        <x:v>102</x:v>
      </x:c>
      <x:c r="D117" s="13" t="str">
        <x:v>51-200</x:v>
      </x:c>
      <x:c r="E117" s="7" t="str">
        <x:v>https://www.linkedin.com/company/energetiq-technology</x:v>
      </x:c>
      <x:c r="F117" s="7" t="str">
        <x:v>https://www.energetiq.com/</x:v>
      </x:c>
      <x:c r="G117" t="str">
        <x:v>Wilmington</x:v>
      </x:c>
      <x:c r="H117" s="8" t="str">
        <x:v>Prospeo</x:v>
      </x:c>
      <x:c r="I117" s="8" t="str">
        <x:v>Not Started</x:v>
      </x:c>
      <x:c r="J117" s="8" t="str">
        <x:v>MID_MANUFACTURING</x:v>
      </x:c>
      <x:c r="K117" s="7" t="str">
        <x:f>IFERROR(VLOOKUP(J117,'TARGETING_RULES'!$A$6:$D$55,4,FALSE),"")</x:f>
        <x:v>Plant Manager &gt; Operations Director &gt; HR Director &gt; Training Manager &gt; Safety Manager &gt; President &gt; CEO</x:v>
      </x:c>
    </x:row>
    <x:row r="118" ht="42" customHeight="1">
      <x:c r="A118" t="str">
        <x:v>Entrada Therapeutics</x:v>
      </x:c>
      <x:c r="B118" t="str">
        <x:v>Biotechnology</x:v>
      </x:c>
      <x:c r="C118" s="12" t="n">
        <x:v>209</x:v>
      </x:c>
      <x:c r="D118" s="13" t="str">
        <x:v>51-200</x:v>
      </x:c>
      <x:c r="E118" s="7" t="str">
        <x:v>https://www.linkedin.com/company/entradatx</x:v>
      </x:c>
      <x:c r="F118" s="7" t="str">
        <x:v>https://www.entradatx.com/</x:v>
      </x:c>
      <x:c r="G118" t="str">
        <x:v>Boston</x:v>
      </x:c>
      <x:c r="H118" s="8" t="str">
        <x:v>Prospeo</x:v>
      </x:c>
      <x:c r="I118" s="8" t="str">
        <x:v>Not Started</x:v>
      </x:c>
      <x:c r="J118" s="8" t="str">
        <x:v>LARGE_TECH_PROFESSIONAL</x:v>
      </x:c>
      <x:c r="K118" s="7" t="str">
        <x:f>IFERROR(VLOOKUP(J118,'TARGETING_RULES'!$A$6:$D$55,4,FALSE),"")</x:f>
        <x:v>L&amp;D Director &gt; People Operations Director &gt; Talent Development Director &gt; Organizational Development Director &gt; HR Director &gt; VP of People</x:v>
      </x:c>
    </x:row>
    <x:row r="119" ht="42" customHeight="1">
      <x:c r="A119" t="str">
        <x:v>Everett's Auto Parts</x:v>
      </x:c>
      <x:c r="B119" t="str">
        <x:v>Automotive Parts Retail</x:v>
      </x:c>
      <x:c r="C119" s="12" t="n">
        <x:v>19</x:v>
      </x:c>
      <x:c r="D119" s="13" t="str">
        <x:v>51-200</x:v>
      </x:c>
      <x:c r="E119" s="7" t="str">
        <x:v>https://www.linkedin.com/company/everett-s-auto-parts</x:v>
      </x:c>
      <x:c r="F119" s="7" t="str">
        <x:v>https://www.everettsautoparts.com/</x:v>
      </x:c>
      <x:c r="G119" t="str">
        <x:v>Brockton</x:v>
      </x:c>
      <x:c r="H119" s="8" t="str">
        <x:v>Prospeo</x:v>
      </x:c>
      <x:c r="I119" s="8" t="str">
        <x:v>Not Started</x:v>
      </x:c>
      <x:c r="J119" s="8" t="str">
        <x:v>MID_HOSPITALITY_RETAIL</x:v>
      </x:c>
      <x:c r="K119" s="7" t="str">
        <x:f>IFERROR(VLOOKUP(J119,'TARGETING_RULES'!$A$6:$D$55,4,FALSE),"")</x:f>
        <x:v>General Manager &gt; Operations Director &gt; Training Director &gt; Training Manager &gt; HR Director &gt; Regional Manager &gt; President &gt; CEO</x:v>
      </x:c>
    </x:row>
    <x:row r="120" ht="42" customHeight="1">
      <x:c r="A120" t="str">
        <x:v>Father Bill's &amp; MainSpring, Inc.</x:v>
      </x:c>
      <x:c r="B120" t="str">
        <x:v>Nonprofit &amp; Homeless Services</x:v>
      </x:c>
      <x:c r="C120" s="12" t="n">
        <x:v>191</x:v>
      </x:c>
      <x:c r="D120" s="13" t="str">
        <x:v>51-200</x:v>
      </x:c>
      <x:c r="E120" s="7" t="str">
        <x:v>https://www.linkedin.com/company/father-bill%27s-%26-mainspring</x:v>
      </x:c>
      <x:c r="F120" s="7" t="str">
        <x:v>https://helpfbms.org/</x:v>
      </x:c>
      <x:c r="G120" t="str">
        <x:v>Brockton</x:v>
      </x:c>
      <x:c r="H120" s="8" t="str">
        <x:v>Prospeo</x:v>
      </x:c>
      <x:c r="I120" s="8" t="str">
        <x:v>Not Started</x:v>
      </x:c>
      <x:c r="J120" s="8" t="str">
        <x:v>MID_NONPROFIT_SOCIAL</x:v>
      </x:c>
      <x:c r="K120" s="7" t="str">
        <x:f>IFERROR(VLOOKUP(J120,'TARGETING_RULES'!$A$6:$D$55,4,FALSE),"")</x:f>
        <x:v>Executive Director &gt; Workforce Development Director &gt; Training Director &gt; L&amp;D Director &gt; Operations Director &gt; HR Director</x:v>
      </x:c>
    </x:row>
    <x:row r="121" ht="42" customHeight="1">
      <x:c r="A121" t="str">
        <x:v>Fullers Collision Center</x:v>
      </x:c>
      <x:c r="B121" t="str">
        <x:v>Automotive Repair</x:v>
      </x:c>
      <x:c r="C121" s="12" t="n">
        <x:v>9</x:v>
      </x:c>
      <x:c r="D121" s="13" t="str">
        <x:v>11-50</x:v>
      </x:c>
      <x:c r="E121" s="7" t="str">
        <x:v>https://www.linkedin.com/company/fuller-auto-body</x:v>
      </x:c>
      <x:c r="F121" s="7" t="str">
        <x:v>https://www.fullerscollision.com/</x:v>
      </x:c>
      <x:c r="G121" t="str">
        <x:v>Auburn</x:v>
      </x:c>
      <x:c r="H121" s="8" t="str">
        <x:v>Prospeo</x:v>
      </x:c>
      <x:c r="I121" s="8" t="str">
        <x:v>Not Started</x:v>
      </x:c>
      <x:c r="J121" s="8" t="str">
        <x:v>SMALL_CONSTRUCTION_TRADES</x:v>
      </x:c>
      <x:c r="K121" s="7" t="str">
        <x:f>IFERROR(VLOOKUP(J121,'TARGETING_RULES'!$A$6:$D$55,4,FALSE),"")</x:f>
        <x:v>Owner &gt; Founder &gt; Co-Founder &gt; President &gt; CEO &gt; Operations Manager &gt; Safety Manager &gt; Training Manager &gt; HR Manager</x:v>
      </x:c>
    </x:row>
    <x:row r="122" ht="42" customHeight="1">
      <x:c r="A122" t="str">
        <x:v>Global Interconnect</x:v>
      </x:c>
      <x:c r="B122" t="str">
        <x:v>Electronics Manufacturing</x:v>
      </x:c>
      <x:c r="C122" s="12" t="n">
        <x:v>54</x:v>
      </x:c>
      <x:c r="D122" s="13" t="str">
        <x:v>11-50</x:v>
      </x:c>
      <x:c r="E122" s="7" t="str">
        <x:v>https://www.linkedin.com/company/global-interconnect-inc.</x:v>
      </x:c>
      <x:c r="F122" s="7" t="str">
        <x:v>https://www.globalinterconnect.com/</x:v>
      </x:c>
      <x:c r="G122" t="str">
        <x:v>Pocasset</x:v>
      </x:c>
      <x:c r="H122" s="8" t="str">
        <x:v>Prospeo</x:v>
      </x:c>
      <x:c r="I122" s="8" t="str">
        <x:v>Not Started</x:v>
      </x:c>
      <x:c r="J122" s="8" t="str">
        <x:v>MID_MANUFACTURING</x:v>
      </x:c>
      <x:c r="K122" s="7" t="str">
        <x:f>IFERROR(VLOOKUP(J122,'TARGETING_RULES'!$A$6:$D$55,4,FALSE),"")</x:f>
        <x:v>Plant Manager &gt; Operations Director &gt; HR Director &gt; Training Manager &gt; Safety Manager &gt; President &gt; CEO</x:v>
      </x:c>
    </x:row>
    <x:row r="123" ht="42" customHeight="1">
      <x:c r="A123" t="str">
        <x:v>GreatHorse LLC</x:v>
      </x:c>
      <x:c r="B123" t="str">
        <x:v>Hospitality &amp; Country Clubs</x:v>
      </x:c>
      <x:c r="C123" s="12" t="n">
        <x:v>79</x:v>
      </x:c>
      <x:c r="D123" s="13" t="str">
        <x:v>51-200</x:v>
      </x:c>
      <x:c r="E123" s="7" t="str">
        <x:v>https://www.linkedin.com/company/greathorse</x:v>
      </x:c>
      <x:c r="F123" s="7" t="str">
        <x:v>https://www.greathorse.com/</x:v>
      </x:c>
      <x:c r="G123" t="str">
        <x:v>Hampden</x:v>
      </x:c>
      <x:c r="H123" s="8" t="str">
        <x:v>Prospeo</x:v>
      </x:c>
      <x:c r="I123" s="8" t="str">
        <x:v>Not Started</x:v>
      </x:c>
      <x:c r="J123" s="8" t="str">
        <x:v>MID_HOSPITALITY_RETAIL</x:v>
      </x:c>
      <x:c r="K123" s="7" t="str">
        <x:f>IFERROR(VLOOKUP(J123,'TARGETING_RULES'!$A$6:$D$55,4,FALSE),"")</x:f>
        <x:v>General Manager &gt; Operations Director &gt; Training Director &gt; Training Manager &gt; HR Director &gt; Regional Manager &gt; President &gt; CEO</x:v>
      </x:c>
    </x:row>
    <x:row r="124" ht="42" customHeight="1">
      <x:c r="A124" t="str">
        <x:v>Harpak-ULMA Packaging</x:v>
      </x:c>
      <x:c r="B124" t="str">
        <x:v>Packaging Machinery Manufacturing</x:v>
      </x:c>
      <x:c r="C124" s="12" t="n">
        <x:v>145</x:v>
      </x:c>
      <x:c r="D124" s="13" t="str">
        <x:v>51-200</x:v>
      </x:c>
      <x:c r="E124" s="7" t="str">
        <x:v>https://www.linkedin.com/company/harpak-ulma-packaging-llc</x:v>
      </x:c>
      <x:c r="F124" s="7" t="str">
        <x:v>https://www.harpak-ulma.com/</x:v>
      </x:c>
      <x:c r="G124" t="str">
        <x:v>Taunton</x:v>
      </x:c>
      <x:c r="H124" s="8" t="str">
        <x:v>Prospeo</x:v>
      </x:c>
      <x:c r="I124" s="8" t="str">
        <x:v>Not Started</x:v>
      </x:c>
      <x:c r="J124" s="8" t="str">
        <x:v>MID_MANUFACTURING</x:v>
      </x:c>
      <x:c r="K124" s="7" t="str">
        <x:f>IFERROR(VLOOKUP(J124,'TARGETING_RULES'!$A$6:$D$55,4,FALSE),"")</x:f>
        <x:v>Plant Manager &gt; Operations Director &gt; HR Director &gt; Training Manager &gt; Safety Manager &gt; President &gt; CEO</x:v>
      </x:c>
    </x:row>
    <x:row r="125" ht="42" customHeight="1">
      <x:c r="A125" t="str">
        <x:v>Headwall Photonics</x:v>
      </x:c>
      <x:c r="B125" t="str">
        <x:v>Optical Instrument Manufacturing</x:v>
      </x:c>
      <x:c r="C125" s="12" t="n">
        <x:v>86</x:v>
      </x:c>
      <x:c r="D125" s="13" t="str">
        <x:v>51-200</x:v>
      </x:c>
      <x:c r="E125" s="7" t="str">
        <x:v>https://www.linkedin.com/company/headwall-global</x:v>
      </x:c>
      <x:c r="F125" s="7" t="str">
        <x:v>https://headwall.com/</x:v>
      </x:c>
      <x:c r="G125" t="str">
        <x:v>Bolton</x:v>
      </x:c>
      <x:c r="H125" s="8" t="str">
        <x:v>Prospeo</x:v>
      </x:c>
      <x:c r="I125" s="8" t="str">
        <x:v>Not Started</x:v>
      </x:c>
      <x:c r="J125" s="8" t="str">
        <x:v>MID_MANUFACTURING</x:v>
      </x:c>
      <x:c r="K125" s="7" t="str">
        <x:f>IFERROR(VLOOKUP(J125,'TARGETING_RULES'!$A$6:$D$55,4,FALSE),"")</x:f>
        <x:v>Plant Manager &gt; Operations Director &gt; HR Director &gt; Training Manager &gt; Safety Manager &gt; President &gt; CEO</x:v>
      </x:c>
    </x:row>
    <x:row r="126" ht="42" customHeight="1">
      <x:c r="A126" t="str">
        <x:v>Hogan Technology, Inc.</x:v>
      </x:c>
      <x:c r="B126" t="str">
        <x:v>IT Services &amp; Consulting</x:v>
      </x:c>
      <x:c r="C126" s="12" t="n">
        <x:v>17</x:v>
      </x:c>
      <x:c r="D126" s="13" t="str">
        <x:v>11-50</x:v>
      </x:c>
      <x:c r="E126" s="7" t="str">
        <x:v>https://www.linkedin.com/company/hogan-technology-inc-</x:v>
      </x:c>
      <x:c r="F126" s="7" t="str">
        <x:v>https://teamhogan.com/</x:v>
      </x:c>
      <x:c r="G126" t="str">
        <x:v>Easthampton</x:v>
      </x:c>
      <x:c r="H126" s="8" t="str">
        <x:v>Prospeo</x:v>
      </x:c>
      <x:c r="I126" s="8" t="str">
        <x:v>Not Started</x:v>
      </x:c>
      <x:c r="J126" s="8" t="str">
        <x:v>SMALL_TECH_PROFESSIONAL</x:v>
      </x:c>
      <x:c r="K126" s="7" t="str">
        <x:f>IFERROR(VLOOKUP(J126,'TARGETING_RULES'!$A$6:$D$55,4,FALSE),"")</x:f>
        <x:v>Owner &gt; Founder &gt; Co-Founder &gt; President &gt; CEO &gt; Managing Partner &gt; COO &gt; People Operations Manager &gt; HR Manager</x:v>
      </x:c>
    </x:row>
    <x:row r="127" ht="42" customHeight="1">
      <x:c r="A127" t="str">
        <x:v>Hojoko</x:v>
      </x:c>
      <x:c r="B127" t="str">
        <x:v>Restaurants</x:v>
      </x:c>
      <x:c r="C127" s="12" t="str">
        <x:v>Not visible</x:v>
      </x:c>
      <x:c r="D127" s="13" t="str">
        <x:v>Not visible</x:v>
      </x:c>
      <x:c r="E127" s="7" t="str">
        <x:v>https://www.linkedin.com/company/cushman-concepts</x:v>
      </x:c>
      <x:c r="F127" s="7" t="str">
        <x:v>https://www.hojokoboston.com/</x:v>
      </x:c>
      <x:c r="G127" t="str">
        <x:v>Boston</x:v>
      </x:c>
      <x:c r="H127" s="8" t="str">
        <x:v>Prospeo</x:v>
      </x:c>
      <x:c r="I127" s="8" t="str">
        <x:v>Not Started</x:v>
      </x:c>
      <x:c r="J127" s="8" t="str">
        <x:v>UNKNOWN_HOSPITALITY_RETAIL</x:v>
      </x:c>
      <x:c r="K127" s="7" t="str">
        <x:f>IFERROR(VLOOKUP(J127,'TARGETING_RULES'!$A$6:$D$55,4,FALSE),"")</x:f>
        <x:v>Owner &gt; President &gt; CEO &gt; General Manager &gt; Operations Director &gt; Training Manager &gt; HR Director</x:v>
      </x:c>
    </x:row>
    <x:row r="128" ht="42" customHeight="1">
      <x:c r="A128" t="str">
        <x:v>Holt &amp; Bugbee</x:v>
      </x:c>
      <x:c r="B128" t="str">
        <x:v>Lumber &amp; Building Materials</x:v>
      </x:c>
      <x:c r="C128" s="12" t="str">
        <x:v>Not visible</x:v>
      </x:c>
      <x:c r="D128" s="13" t="str">
        <x:v>51-200</x:v>
      </x:c>
      <x:c r="E128" s="7" t="str">
        <x:v>https://www.linkedin.com/company/holt-%26-bugbee-company</x:v>
      </x:c>
      <x:c r="F128" s="7" t="str">
        <x:v>https://www.holtandbugbee.com/</x:v>
      </x:c>
      <x:c r="G128" t="str">
        <x:v>Tewksbury</x:v>
      </x:c>
      <x:c r="H128" s="8" t="str">
        <x:v>Prospeo</x:v>
      </x:c>
      <x:c r="I128" s="8" t="str">
        <x:v>Not Started</x:v>
      </x:c>
      <x:c r="J128" s="8" t="str">
        <x:v>MID_CONSTRUCTION_TRADES</x:v>
      </x:c>
      <x:c r="K128" s="7" t="str">
        <x:f>IFERROR(VLOOKUP(J128,'TARGETING_RULES'!$A$6:$D$55,4,FALSE),"")</x:f>
        <x:v>Operations Director &gt; Safety Director &gt; Safety Manager &gt; Training Manager &gt; HR Director &gt; HR Manager &gt; President &gt; CEO</x:v>
      </x:c>
    </x:row>
    <x:row r="129" ht="42" customHeight="1">
      <x:c r="A129" t="str">
        <x:v>Homes For Our Troops</x:v>
      </x:c>
      <x:c r="B129" t="str">
        <x:v>Nonprofit &amp; Construction Services</x:v>
      </x:c>
      <x:c r="C129" s="12" t="n">
        <x:v>120</x:v>
      </x:c>
      <x:c r="D129" s="13" t="str">
        <x:v>51-200</x:v>
      </x:c>
      <x:c r="E129" s="7" t="str">
        <x:v>https://www.linkedin.com/company/homes-for-our-troops</x:v>
      </x:c>
      <x:c r="F129" s="7" t="str">
        <x:v>https://www.hfotusa.org/</x:v>
      </x:c>
      <x:c r="G129" t="str">
        <x:v>Taunton</x:v>
      </x:c>
      <x:c r="H129" s="8" t="str">
        <x:v>Prospeo</x:v>
      </x:c>
      <x:c r="I129" s="8" t="str">
        <x:v>Not Started</x:v>
      </x:c>
      <x:c r="J129" s="8" t="str">
        <x:v>MID_NONPROFIT_SOCIAL</x:v>
      </x:c>
      <x:c r="K129" s="7" t="str">
        <x:f>IFERROR(VLOOKUP(J129,'TARGETING_RULES'!$A$6:$D$55,4,FALSE),"")</x:f>
        <x:v>Executive Director &gt; Workforce Development Director &gt; Training Director &gt; L&amp;D Director &gt; Operations Director &gt; HR Director</x:v>
      </x:c>
    </x:row>
    <x:row r="130" ht="42" customHeight="1">
      <x:c r="A130" t="str">
        <x:v>Howes Temco</x:v>
      </x:c>
      <x:c r="B130" t="str">
        <x:v>Precision Manufacturing</x:v>
      </x:c>
      <x:c r="C130" s="12" t="str">
        <x:v>Not visible</x:v>
      </x:c>
      <x:c r="D130" s="13" t="str">
        <x:v>Not visible</x:v>
      </x:c>
      <x:c r="E130" s="7" t="str">
        <x:v>Not verified</x:v>
      </x:c>
      <x:c r="F130" s="7" t="str">
        <x:v>Not verified</x:v>
      </x:c>
      <x:c r="G130" t="str">
        <x:v>Attleboro</x:v>
      </x:c>
      <x:c r="H130" s="8" t="str">
        <x:v>Prospeo</x:v>
      </x:c>
      <x:c r="I130" s="8" t="str">
        <x:v>Not Started</x:v>
      </x:c>
      <x:c r="J130" s="8" t="str">
        <x:v>UNKNOWN_MANUFACTURING</x:v>
      </x:c>
      <x:c r="K130" s="7" t="str">
        <x:f>IFERROR(VLOOKUP(J130,'TARGETING_RULES'!$A$6:$D$55,4,FALSE),"")</x:f>
        <x:v>Owner &gt; President &gt; CEO &gt; Plant Manager &gt; Operations Director &gt; Training Manager &gt; HR Director</x:v>
      </x:c>
    </x:row>
    <x:row r="131" ht="42" customHeight="1">
      <x:c r="A131" t="str">
        <x:v>Human Systems Integration, Inc.</x:v>
      </x:c>
      <x:c r="B131" t="str">
        <x:v>Defense &amp; Aerospace R&amp;D</x:v>
      </x:c>
      <x:c r="C131" s="12" t="n">
        <x:v>27</x:v>
      </x:c>
      <x:c r="D131" s="13" t="str">
        <x:v>11-50</x:v>
      </x:c>
      <x:c r="E131" s="7" t="str">
        <x:v>https://www.linkedin.com/company/human-systems-integration-inc</x:v>
      </x:c>
      <x:c r="F131" s="7" t="str">
        <x:v>https://www.humansystemsintegration.com/</x:v>
      </x:c>
      <x:c r="G131" t="str">
        <x:v>East Walpole</x:v>
      </x:c>
      <x:c r="H131" s="8" t="str">
        <x:v>Skrapp</x:v>
      </x:c>
      <x:c r="I131" s="8" t="str">
        <x:v>Not Started</x:v>
      </x:c>
      <x:c r="J131" s="8" t="str">
        <x:v>SMALL_TECH_PROFESSIONAL</x:v>
      </x:c>
      <x:c r="K131" s="7" t="str">
        <x:f>IFERROR(VLOOKUP(J131,'TARGETING_RULES'!$A$6:$D$55,4,FALSE),"")</x:f>
        <x:v>Owner &gt; Founder &gt; Co-Founder &gt; President &gt; CEO &gt; Managing Partner &gt; COO &gt; People Operations Manager &gt; HR Manager</x:v>
      </x:c>
    </x:row>
    <x:row r="132" ht="42" customHeight="1">
      <x:c r="A132" t="str">
        <x:v>iCorps Technologies</x:v>
      </x:c>
      <x:c r="B132" t="str">
        <x:v>IT Services &amp; Consulting</x:v>
      </x:c>
      <x:c r="C132" s="12" t="n">
        <x:v>90</x:v>
      </x:c>
      <x:c r="D132" s="13" t="str">
        <x:v>51-200</x:v>
      </x:c>
      <x:c r="E132" s="7" t="str">
        <x:v>https://www.linkedin.com/company/icorps-technologies</x:v>
      </x:c>
      <x:c r="F132" s="7" t="str">
        <x:v>https://www.icorps.com/</x:v>
      </x:c>
      <x:c r="G132" t="str">
        <x:v>Boston</x:v>
      </x:c>
      <x:c r="H132" s="8" t="str">
        <x:v>Skrapp</x:v>
      </x:c>
      <x:c r="I132" s="8" t="str">
        <x:v>Not Started</x:v>
      </x:c>
      <x:c r="J132" s="8" t="str">
        <x:v>MID_TECH_PROFESSIONAL</x:v>
      </x:c>
      <x:c r="K132" s="7" t="str">
        <x:f>IFERROR(VLOOKUP(J132,'TARGETING_RULES'!$A$6:$D$55,4,FALSE),"")</x:f>
        <x:v>People Operations Director &gt; HR Director &gt; L&amp;D Manager &gt; Talent Development Manager &gt; Operations Director &gt; Managing Partner &gt; CEO</x:v>
      </x:c>
    </x:row>
    <x:row r="133" ht="42" customHeight="1">
      <x:c r="A133" t="str">
        <x:v>Interprint</x:v>
      </x:c>
      <x:c r="B133" t="str">
        <x:v>Decorative Surface Printing</x:v>
      </x:c>
      <x:c r="C133" s="12" t="str">
        <x:v>Not visible</x:v>
      </x:c>
      <x:c r="D133" s="13" t="str">
        <x:v>1,001-5,000</x:v>
      </x:c>
      <x:c r="E133" s="7" t="str">
        <x:v>https://www.linkedin.com/company/interprint-group</x:v>
      </x:c>
      <x:c r="F133" s="7" t="str">
        <x:v>https://www.interprint.com/</x:v>
      </x:c>
      <x:c r="G133" t="str">
        <x:v>Pittsfield</x:v>
      </x:c>
      <x:c r="H133" s="8" t="str">
        <x:v>Skrapp</x:v>
      </x:c>
      <x:c r="I133" s="8" t="str">
        <x:v>Not Started</x:v>
      </x:c>
      <x:c r="J133" s="8" t="str">
        <x:v>ENTERPRISE_MANUFACTURING</x:v>
      </x:c>
      <x:c r="K133" s="7" t="str">
        <x:f>IFERROR(VLOOKUP(J133,'TARGETING_RULES'!$A$6:$D$55,4,FALSE),"")</x:f>
        <x:v>Plant Manager &gt; Training Director &gt; L&amp;D Director &gt; Workforce Development Director &gt; Operations Director &gt; HR Director &gt; VP of HR</x:v>
      </x:c>
    </x:row>
    <x:row r="134" ht="42" customHeight="1">
      <x:c r="A134" t="str">
        <x:v>Ironclad Services</x:v>
      </x:c>
      <x:c r="B134" t="str">
        <x:v>Commercial Construction</x:v>
      </x:c>
      <x:c r="C134" s="12" t="n">
        <x:v>20</x:v>
      </x:c>
      <x:c r="D134" s="13" t="str">
        <x:v>11-50</x:v>
      </x:c>
      <x:c r="E134" s="7" t="str">
        <x:v>https://www.linkedin.com/company/ironclad-services</x:v>
      </x:c>
      <x:c r="F134" s="7" t="str">
        <x:v>https://www.ironcladservices.com/</x:v>
      </x:c>
      <x:c r="G134" t="str">
        <x:v>Springfield</x:v>
      </x:c>
      <x:c r="H134" s="8" t="str">
        <x:v>Skrapp</x:v>
      </x:c>
      <x:c r="I134" s="8" t="str">
        <x:v>Not Started</x:v>
      </x:c>
      <x:c r="J134" s="8" t="str">
        <x:v>SMALL_CONSTRUCTION_TRADES</x:v>
      </x:c>
      <x:c r="K134" s="7" t="str">
        <x:f>IFERROR(VLOOKUP(J134,'TARGETING_RULES'!$A$6:$D$55,4,FALSE),"")</x:f>
        <x:v>Owner &gt; Founder &gt; Co-Founder &gt; President &gt; CEO &gt; Operations Manager &gt; Safety Manager &gt; Training Manager &gt; HR Manager</x:v>
      </x:c>
    </x:row>
    <x:row r="135" ht="42" customHeight="1">
      <x:c r="A135" t="str">
        <x:v>ISlide</x:v>
      </x:c>
      <x:c r="B135" t="str">
        <x:v>Footwear &amp; Apparel</x:v>
      </x:c>
      <x:c r="C135" s="12" t="n">
        <x:v>27</x:v>
      </x:c>
      <x:c r="D135" s="13" t="str">
        <x:v>11-50</x:v>
      </x:c>
      <x:c r="E135" s="7" t="str">
        <x:v>https://www.linkedin.com/company/islide-inc-</x:v>
      </x:c>
      <x:c r="F135" s="7" t="str">
        <x:v>https://islideusa.com/</x:v>
      </x:c>
      <x:c r="G135" t="str">
        <x:v>Boston</x:v>
      </x:c>
      <x:c r="H135" s="8" t="str">
        <x:v>Skrapp</x:v>
      </x:c>
      <x:c r="I135" s="8" t="str">
        <x:v>Not Started</x:v>
      </x:c>
      <x:c r="J135" s="8" t="str">
        <x:v>SMALL_MANUFACTURING</x:v>
      </x:c>
      <x:c r="K135" s="7" t="str">
        <x:f>IFERROR(VLOOKUP(J135,'TARGETING_RULES'!$A$6:$D$55,4,FALSE),"")</x:f>
        <x:v>Owner &gt; Founder &gt; Co-Founder &gt; President &gt; CEO &gt; Plant Manager &gt; Operations Manager &gt; Training Manager &gt; HR Manager</x:v>
      </x:c>
    </x:row>
    <x:row r="136" ht="42" customHeight="1">
      <x:c r="A136" t="str">
        <x:v>Jefferson Rubber Works</x:v>
      </x:c>
      <x:c r="B136" t="str">
        <x:v>Rubber Product Manufacturing</x:v>
      </x:c>
      <x:c r="C136" s="12" t="n">
        <x:v>27</x:v>
      </x:c>
      <x:c r="D136" s="13" t="str">
        <x:v>11-50</x:v>
      </x:c>
      <x:c r="E136" s="7" t="str">
        <x:v>https://www.linkedin.com/company/jefferson-rubber-works-inc-</x:v>
      </x:c>
      <x:c r="F136" s="7" t="str">
        <x:v>https://www.jeffersonrubber.com/</x:v>
      </x:c>
      <x:c r="G136" t="str">
        <x:v>Worcester</x:v>
      </x:c>
      <x:c r="H136" s="8" t="str">
        <x:v>Skrapp</x:v>
      </x:c>
      <x:c r="I136" s="8" t="str">
        <x:v>Not Started</x:v>
      </x:c>
      <x:c r="J136" s="8" t="str">
        <x:v>SMALL_MANUFACTURING</x:v>
      </x:c>
      <x:c r="K136" s="7" t="str">
        <x:f>IFERROR(VLOOKUP(J136,'TARGETING_RULES'!$A$6:$D$55,4,FALSE),"")</x:f>
        <x:v>Owner &gt; Founder &gt; Co-Founder &gt; President &gt; CEO &gt; Plant Manager &gt; Operations Manager &gt; Training Manager &gt; HR Manager</x:v>
      </x:c>
    </x:row>
    <x:row r="137" ht="42" customHeight="1">
      <x:c r="A137" t="str">
        <x:v>Jeffco Fibres</x:v>
      </x:c>
      <x:c r="B137" t="str">
        <x:v>Textile &amp; Fiber Manufacturing</x:v>
      </x:c>
      <x:c r="C137" s="12" t="n">
        <x:v>103</x:v>
      </x:c>
      <x:c r="D137" s="13" t="str">
        <x:v>201-500</x:v>
      </x:c>
      <x:c r="E137" s="7" t="str">
        <x:v>https://www.linkedin.com/company/jeffco-fibres-inc.</x:v>
      </x:c>
      <x:c r="F137" s="7" t="str">
        <x:v>https://www.jeffcofibres.com/</x:v>
      </x:c>
      <x:c r="G137" t="str">
        <x:v>Webster</x:v>
      </x:c>
      <x:c r="H137" s="8" t="str">
        <x:v>Skrapp</x:v>
      </x:c>
      <x:c r="I137" s="8" t="str">
        <x:v>Not Started</x:v>
      </x:c>
      <x:c r="J137" s="8" t="str">
        <x:v>LARGE_MANUFACTURING</x:v>
      </x:c>
      <x:c r="K137" s="7" t="str">
        <x:f>IFERROR(VLOOKUP(J137,'TARGETING_RULES'!$A$6:$D$55,4,FALSE),"")</x:f>
        <x:v>Plant Manager &gt; Operations Director &gt; Training Director &gt; L&amp;D Director &gt; HR Director &gt; Safety Director &gt; VP of Operations</x:v>
      </x:c>
    </x:row>
    <x:row r="138" ht="42" customHeight="1">
      <x:c r="A138" t="str">
        <x:v>JEM Electronics, Inc.</x:v>
      </x:c>
      <x:c r="B138" t="str">
        <x:v>Electronics Manufacturing</x:v>
      </x:c>
      <x:c r="C138" s="12" t="n">
        <x:v>30</x:v>
      </x:c>
      <x:c r="D138" s="13" t="str">
        <x:v>51-200</x:v>
      </x:c>
      <x:c r="E138" s="7" t="str">
        <x:v>https://www.linkedin.com/company/jem-electronics</x:v>
      </x:c>
      <x:c r="F138" s="7" t="str">
        <x:v>https://www.jemelectronics.com/</x:v>
      </x:c>
      <x:c r="G138" t="str">
        <x:v>Worcester</x:v>
      </x:c>
      <x:c r="H138" s="8" t="str">
        <x:v>Skrapp</x:v>
      </x:c>
      <x:c r="I138" s="8" t="str">
        <x:v>Not Started</x:v>
      </x:c>
      <x:c r="J138" s="8" t="str">
        <x:v>MID_MANUFACTURING</x:v>
      </x:c>
      <x:c r="K138" s="7" t="str">
        <x:f>IFERROR(VLOOKUP(J138,'TARGETING_RULES'!$A$6:$D$55,4,FALSE),"")</x:f>
        <x:v>Plant Manager &gt; Operations Director &gt; HR Director &gt; Training Manager &gt; Safety Manager &gt; President &gt; CEO</x:v>
      </x:c>
    </x:row>
    <x:row r="139" ht="42" customHeight="1">
      <x:c r="A139" t="str">
        <x:v>Jordan's Furniture</x:v>
      </x:c>
      <x:c r="B139" t="str">
        <x:v>Furniture Retail</x:v>
      </x:c>
      <x:c r="C139" s="12" t="n">
        <x:v>786</x:v>
      </x:c>
      <x:c r="D139" s="13" t="str">
        <x:v>1,001-5,000</x:v>
      </x:c>
      <x:c r="E139" s="7" t="str">
        <x:v>https://www.linkedin.com/company/jordan%27s-furniture</x:v>
      </x:c>
      <x:c r="F139" s="7" t="str">
        <x:v>https://www.jordans.com/</x:v>
      </x:c>
      <x:c r="G139" t="str">
        <x:v>Taunton</x:v>
      </x:c>
      <x:c r="H139" s="8" t="str">
        <x:v>Skrapp</x:v>
      </x:c>
      <x:c r="I139" s="8" t="str">
        <x:v>Not Started</x:v>
      </x:c>
      <x:c r="J139" s="8" t="str">
        <x:v>ENTERPRISE_HOSPITALITY_RETAIL</x:v>
      </x:c>
      <x:c r="K139" s="7" t="str">
        <x:f>IFERROR(VLOOKUP(J139,'TARGETING_RULES'!$A$6:$D$55,4,FALSE),"")</x:f>
        <x:v>L&amp;D Director &gt; Training Director &gt; Regional Operations Director &gt; HR Director &gt; VP of Operations &gt; VP of HR</x:v>
      </x:c>
    </x:row>
    <x:row r="140" ht="42" customHeight="1">
      <x:c r="A140" t="str">
        <x:v>Kadant</x:v>
      </x:c>
      <x:c r="B140" t="str">
        <x:v>Industrial Machinery Manufacturing</x:v>
      </x:c>
      <x:c r="C140" s="12" t="n">
        <x:v>108</x:v>
      </x:c>
      <x:c r="D140" s="13" t="str">
        <x:v>1,001-5,000</x:v>
      </x:c>
      <x:c r="E140" s="7" t="str">
        <x:v>https://www.linkedin.com/company/kadant-solutions-division</x:v>
      </x:c>
      <x:c r="F140" s="7" t="str">
        <x:v>https://www.kadant.com/</x:v>
      </x:c>
      <x:c r="G140" t="str">
        <x:v>Auburn</x:v>
      </x:c>
      <x:c r="H140" s="8" t="str">
        <x:v>Skrapp</x:v>
      </x:c>
      <x:c r="I140" s="8" t="str">
        <x:v>Not Started</x:v>
      </x:c>
      <x:c r="J140" s="8" t="str">
        <x:v>ENTERPRISE_MANUFACTURING</x:v>
      </x:c>
      <x:c r="K140" s="7" t="str">
        <x:f>IFERROR(VLOOKUP(J140,'TARGETING_RULES'!$A$6:$D$55,4,FALSE),"")</x:f>
        <x:v>Plant Manager &gt; Training Director &gt; L&amp;D Director &gt; Workforce Development Director &gt; Operations Director &gt; HR Director &gt; VP of HR</x:v>
      </x:c>
    </x:row>
    <x:row r="141" ht="42" customHeight="1">
      <x:c r="A141" t="str">
        <x:v>Kaloutas &amp; Co</x:v>
      </x:c>
      <x:c r="B141" t="str">
        <x:v>Commercial Painting &amp; Industrial Coatings</x:v>
      </x:c>
      <x:c r="C141" s="12" t="n">
        <x:v>122</x:v>
      </x:c>
      <x:c r="D141" s="13" t="str">
        <x:v>51-200</x:v>
      </x:c>
      <x:c r="E141" s="7" t="str">
        <x:v>https://www.linkedin.com/company/kaloutas</x:v>
      </x:c>
      <x:c r="F141" s="7" t="str">
        <x:v>https://www.kaloutas.com/</x:v>
      </x:c>
      <x:c r="G141" t="str">
        <x:v>Peabody</x:v>
      </x:c>
      <x:c r="H141" s="8" t="str">
        <x:v>Skrapp</x:v>
      </x:c>
      <x:c r="I141" s="8" t="str">
        <x:v>Not Started</x:v>
      </x:c>
      <x:c r="J141" s="8" t="str">
        <x:v>MID_CONSTRUCTION_TRADES</x:v>
      </x:c>
      <x:c r="K141" s="7" t="str">
        <x:f>IFERROR(VLOOKUP(J141,'TARGETING_RULES'!$A$6:$D$55,4,FALSE),"")</x:f>
        <x:v>Operations Director &gt; Safety Director &gt; Safety Manager &gt; Training Manager &gt; HR Director &gt; HR Manager &gt; President &gt; CEO</x:v>
      </x:c>
    </x:row>
    <x:row r="142" ht="42" customHeight="1">
      <x:c r="A142" t="str">
        <x:v>KARL STORZ Endovision</x:v>
      </x:c>
      <x:c r="B142" t="str">
        <x:v>Medical Device Manufacturing</x:v>
      </x:c>
      <x:c r="C142" s="12" t="n">
        <x:v>2326</x:v>
      </x:c>
      <x:c r="D142" s="13" t="str">
        <x:v>Not visible</x:v>
      </x:c>
      <x:c r="E142" s="7" t="str">
        <x:v>https://www.linkedin.com/company/karl-storz-north-america</x:v>
      </x:c>
      <x:c r="F142" s="7" t="str">
        <x:v>https://www.karlstorz.com/us/en/</x:v>
      </x:c>
      <x:c r="G142" t="str">
        <x:v>Charlton</x:v>
      </x:c>
      <x:c r="H142" s="8" t="str">
        <x:v>Skrapp</x:v>
      </x:c>
      <x:c r="I142" s="8" t="str">
        <x:v>Not Started</x:v>
      </x:c>
      <x:c r="J142" s="8" t="str">
        <x:v>ENTERPRISE_MANUFACTURING</x:v>
      </x:c>
      <x:c r="K142" s="7" t="str">
        <x:f>IFERROR(VLOOKUP(J142,'TARGETING_RULES'!$A$6:$D$55,4,FALSE),"")</x:f>
        <x:v>Plant Manager &gt; Training Director &gt; L&amp;D Director &gt; Workforce Development Director &gt; Operations Director &gt; HR Director &gt; VP of HR</x:v>
      </x:c>
    </x:row>
    <x:row r="143" ht="42" customHeight="1">
      <x:c r="A143" t="str">
        <x:v>Keurig Green Mountain</x:v>
      </x:c>
      <x:c r="B143" t="str">
        <x:v>Beverage Manufacturing</x:v>
      </x:c>
      <x:c r="C143" s="12" t="n">
        <x:v>702</x:v>
      </x:c>
      <x:c r="D143" s="13" t="str">
        <x:v>10,001+</x:v>
      </x:c>
      <x:c r="E143" s="7" t="str">
        <x:v>https://www.linkedin.com/company/keurig-incorporated</x:v>
      </x:c>
      <x:c r="F143" s="7" t="str">
        <x:v>https://www.keurigdrpepper.com/</x:v>
      </x:c>
      <x:c r="G143" t="str">
        <x:v>Burlington</x:v>
      </x:c>
      <x:c r="H143" s="8" t="str">
        <x:v>Skrapp</x:v>
      </x:c>
      <x:c r="I143" s="8" t="str">
        <x:v>Not Started</x:v>
      </x:c>
      <x:c r="J143" s="8" t="str">
        <x:v>ENTERPRISE_MANUFACTURING</x:v>
      </x:c>
      <x:c r="K143" s="7" t="str">
        <x:f>IFERROR(VLOOKUP(J143,'TARGETING_RULES'!$A$6:$D$55,4,FALSE),"")</x:f>
        <x:v>Plant Manager &gt; Training Director &gt; L&amp;D Director &gt; Workforce Development Director &gt; Operations Director &gt; HR Director &gt; VP of HR</x:v>
      </x:c>
    </x:row>
    <x:row r="144" ht="42" customHeight="1">
      <x:c r="A144" t="str">
        <x:v>Kidde-Fenwal</x:v>
      </x:c>
      <x:c r="B144" t="str">
        <x:v>Fire Protection Equipment Manufacturing</x:v>
      </x:c>
      <x:c r="C144" s="12" t="n">
        <x:v>452</x:v>
      </x:c>
      <x:c r="D144" s="13" t="str">
        <x:v>201-500</x:v>
      </x:c>
      <x:c r="E144" s="7" t="str">
        <x:v>https://www.linkedin.com/company/kiddefenwal</x:v>
      </x:c>
      <x:c r="F144" s="7" t="str">
        <x:v>https://www.kiddefenwal.com/</x:v>
      </x:c>
      <x:c r="G144" t="str">
        <x:v>Ashland</x:v>
      </x:c>
      <x:c r="H144" s="8" t="str">
        <x:v>Skrapp</x:v>
      </x:c>
      <x:c r="I144" s="8" t="str">
        <x:v>Not Started</x:v>
      </x:c>
      <x:c r="J144" s="8" t="str">
        <x:v>LARGE_MANUFACTURING</x:v>
      </x:c>
      <x:c r="K144" s="7" t="str">
        <x:f>IFERROR(VLOOKUP(J144,'TARGETING_RULES'!$A$6:$D$55,4,FALSE),"")</x:f>
        <x:v>Plant Manager &gt; Operations Director &gt; Training Director &gt; L&amp;D Director &gt; HR Director &gt; Safety Director &gt; VP of Operations</x:v>
      </x:c>
    </x:row>
    <x:row r="145" ht="42" customHeight="1">
      <x:c r="A145" t="str">
        <x:v>Kirkwood Printing Company</x:v>
      </x:c>
      <x:c r="B145" t="str">
        <x:v>Printing Services</x:v>
      </x:c>
      <x:c r="C145" s="12" t="n">
        <x:v>220</x:v>
      </x:c>
      <x:c r="D145" s="13" t="str">
        <x:v>201-500</x:v>
      </x:c>
      <x:c r="E145" s="7" t="str">
        <x:v>https://www.linkedin.com/company/kirkwood-printing</x:v>
      </x:c>
      <x:c r="F145" s="7" t="str">
        <x:v>https://www.kirkwoodprinting.com/</x:v>
      </x:c>
      <x:c r="G145" t="str">
        <x:v>Wilmington</x:v>
      </x:c>
      <x:c r="H145" s="8" t="str">
        <x:v>Skrapp</x:v>
      </x:c>
      <x:c r="I145" s="8" t="str">
        <x:v>Not Started</x:v>
      </x:c>
      <x:c r="J145" s="8" t="str">
        <x:v>LARGE_MANUFACTURING</x:v>
      </x:c>
      <x:c r="K145" s="7" t="str">
        <x:f>IFERROR(VLOOKUP(J145,'TARGETING_RULES'!$A$6:$D$55,4,FALSE),"")</x:f>
        <x:v>Plant Manager &gt; Operations Director &gt; Training Director &gt; L&amp;D Director &gt; HR Director &gt; Safety Director &gt; VP of Operations</x:v>
      </x:c>
    </x:row>
    <x:row r="146" ht="42" customHeight="1">
      <x:c r="A146" t="str">
        <x:v>Landry's Bicycles</x:v>
      </x:c>
      <x:c r="B146" t="str">
        <x:v>Bicycle Retail</x:v>
      </x:c>
      <x:c r="C146" s="12" t="n">
        <x:v>85</x:v>
      </x:c>
      <x:c r="D146" s="13" t="str">
        <x:v>201-500</x:v>
      </x:c>
      <x:c r="E146" s="7" t="str">
        <x:v>https://www.linkedin.com/company/landrysbicycles</x:v>
      </x:c>
      <x:c r="F146" s="7" t="str">
        <x:v>https://www.landrys.com/</x:v>
      </x:c>
      <x:c r="G146" t="str">
        <x:v>Natick</x:v>
      </x:c>
      <x:c r="H146" s="8" t="str">
        <x:v>Skrapp</x:v>
      </x:c>
      <x:c r="I146" s="8" t="str">
        <x:v>Not Started</x:v>
      </x:c>
      <x:c r="J146" s="8" t="str">
        <x:v>LARGE_HOSPITALITY_RETAIL</x:v>
      </x:c>
      <x:c r="K146" s="7" t="str">
        <x:f>IFERROR(VLOOKUP(J146,'TARGETING_RULES'!$A$6:$D$55,4,FALSE),"")</x:f>
        <x:v>Training Director &gt; Operations Director &gt; Regional Operations Director &gt; HR Director &gt; General Manager &gt; VP of Operations</x:v>
      </x:c>
    </x:row>
    <x:row r="147" ht="42" customHeight="1">
      <x:c r="A147" t="str">
        <x:v>Larson Tool &amp; Stamping Company</x:v>
      </x:c>
      <x:c r="B147" t="str">
        <x:v>Metal Stamping &amp; Tooling</x:v>
      </x:c>
      <x:c r="C147" s="12" t="n">
        <x:v>28</x:v>
      </x:c>
      <x:c r="D147" s="13" t="str">
        <x:v>51-200</x:v>
      </x:c>
      <x:c r="E147" s="7" t="str">
        <x:v>https://www.linkedin.com/company/larson-tool-%26-stamping-company</x:v>
      </x:c>
      <x:c r="F147" s="7" t="str">
        <x:v>https://www.larsontool.com/</x:v>
      </x:c>
      <x:c r="G147" t="str">
        <x:v>Attleboro</x:v>
      </x:c>
      <x:c r="H147" s="8" t="str">
        <x:v>Skrapp</x:v>
      </x:c>
      <x:c r="I147" s="8" t="str">
        <x:v>Not Started</x:v>
      </x:c>
      <x:c r="J147" s="8" t="str">
        <x:v>MID_MANUFACTURING</x:v>
      </x:c>
      <x:c r="K147" s="7" t="str">
        <x:f>IFERROR(VLOOKUP(J147,'TARGETING_RULES'!$A$6:$D$55,4,FALSE),"")</x:f>
        <x:v>Plant Manager &gt; Operations Director &gt; HR Director &gt; Training Manager &gt; Safety Manager &gt; President &gt; CEO</x:v>
      </x:c>
    </x:row>
    <x:row r="148" ht="42" customHeight="1">
      <x:c r="A148" t="str">
        <x:v>Lenco Armored Vehicles</x:v>
      </x:c>
      <x:c r="B148" t="str">
        <x:v>Defense Vehicle Manufacturing</x:v>
      </x:c>
      <x:c r="C148" s="12" t="n">
        <x:v>66</x:v>
      </x:c>
      <x:c r="D148" s="13" t="str">
        <x:v>51-200</x:v>
      </x:c>
      <x:c r="E148" s="7" t="str">
        <x:v>https://www.linkedin.com/company/lenco-armored-vehicles</x:v>
      </x:c>
      <x:c r="F148" s="7" t="str">
        <x:v>https://www.lencoarmor.com/</x:v>
      </x:c>
      <x:c r="G148" t="str">
        <x:v>Pittsfield</x:v>
      </x:c>
      <x:c r="H148" s="8" t="str">
        <x:v>Skrapp</x:v>
      </x:c>
      <x:c r="I148" s="8" t="str">
        <x:v>Not Started</x:v>
      </x:c>
      <x:c r="J148" s="8" t="str">
        <x:v>MID_MANUFACTURING</x:v>
      </x:c>
      <x:c r="K148" s="7" t="str">
        <x:f>IFERROR(VLOOKUP(J148,'TARGETING_RULES'!$A$6:$D$55,4,FALSE),"")</x:f>
        <x:v>Plant Manager &gt; Operations Director &gt; HR Director &gt; Training Manager &gt; Safety Manager &gt; President &gt; CEO</x:v>
      </x:c>
    </x:row>
    <x:row r="149" ht="42" customHeight="1">
      <x:c r="A149" t="str">
        <x:v>LEONI Wire Inc</x:v>
      </x:c>
      <x:c r="B149" t="str">
        <x:v>Wire &amp; Cable Manufacturing</x:v>
      </x:c>
      <x:c r="C149" s="12" t="n">
        <x:v>20920</x:v>
      </x:c>
      <x:c r="D149" s="13" t="str">
        <x:v>10,001+</x:v>
      </x:c>
      <x:c r="E149" s="7" t="str">
        <x:v>https://www.linkedin.com/company/leoni</x:v>
      </x:c>
      <x:c r="F149" s="7" t="str">
        <x:v>https://www.leoni.com/</x:v>
      </x:c>
      <x:c r="G149" t="str">
        <x:v>Chicopee</x:v>
      </x:c>
      <x:c r="H149" s="8" t="str">
        <x:v>Skrapp</x:v>
      </x:c>
      <x:c r="I149" s="8" t="str">
        <x:v>Not Started</x:v>
      </x:c>
      <x:c r="J149" s="8" t="str">
        <x:v>ENTERPRISE_MANUFACTURING</x:v>
      </x:c>
      <x:c r="K149" s="7" t="str">
        <x:f>IFERROR(VLOOKUP(J149,'TARGETING_RULES'!$A$6:$D$55,4,FALSE),"")</x:f>
        <x:v>Plant Manager &gt; Training Director &gt; L&amp;D Director &gt; Workforce Development Director &gt; Operations Director &gt; HR Director &gt; VP of HR</x:v>
      </x:c>
    </x:row>
    <x:row r="150" ht="42" customHeight="1">
      <x:c r="A150" t="str">
        <x:v>Little Leaf Farms</x:v>
      </x:c>
      <x:c r="B150" t="str">
        <x:v>Agriculture &amp; Food Production</x:v>
      </x:c>
      <x:c r="C150" s="12" t="n">
        <x:v>171</x:v>
      </x:c>
      <x:c r="D150" s="13" t="str">
        <x:v>51-200</x:v>
      </x:c>
      <x:c r="E150" s="7" t="str">
        <x:v>https://www.linkedin.com/company/littleleaffarms</x:v>
      </x:c>
      <x:c r="F150" s="7" t="str">
        <x:v>https://www.littleleaffarms.com/</x:v>
      </x:c>
      <x:c r="G150" t="str">
        <x:v>Devens</x:v>
      </x:c>
      <x:c r="H150" s="8" t="str">
        <x:v>Skrapp</x:v>
      </x:c>
      <x:c r="I150" s="8" t="str">
        <x:v>Not Started</x:v>
      </x:c>
      <x:c r="J150" s="8" t="str">
        <x:v>MID_MANUFACTURING</x:v>
      </x:c>
      <x:c r="K150" s="7" t="str">
        <x:f>IFERROR(VLOOKUP(J150,'TARGETING_RULES'!$A$6:$D$55,4,FALSE),"")</x:f>
        <x:v>Plant Manager &gt; Operations Director &gt; HR Director &gt; Training Manager &gt; Safety Manager &gt; President &gt; CEO</x:v>
      </x:c>
    </x:row>
    <x:row r="151" ht="42" customHeight="1">
      <x:c r="A151" t="str">
        <x:v>Llumin</x:v>
      </x:c>
      <x:c r="B151" t="str">
        <x:v>Software Development</x:v>
      </x:c>
      <x:c r="C151" s="12" t="n">
        <x:v>27</x:v>
      </x:c>
      <x:c r="D151" s="13" t="str">
        <x:v>11-50</x:v>
      </x:c>
      <x:c r="E151" s="7" t="str">
        <x:v>https://www.linkedin.com/company/llumin-software</x:v>
      </x:c>
      <x:c r="F151" s="7" t="str">
        <x:v>https://llumin.com/</x:v>
      </x:c>
      <x:c r="G151" t="str">
        <x:v>Springfield</x:v>
      </x:c>
      <x:c r="H151" s="8" t="str">
        <x:v>Skrapp</x:v>
      </x:c>
      <x:c r="I151" s="8" t="str">
        <x:v>Not Started</x:v>
      </x:c>
      <x:c r="J151" s="8" t="str">
        <x:v>SMALL_TECH_PROFESSIONAL</x:v>
      </x:c>
      <x:c r="K151" s="7" t="str">
        <x:f>IFERROR(VLOOKUP(J151,'TARGETING_RULES'!$A$6:$D$55,4,FALSE),"")</x:f>
        <x:v>Owner &gt; Founder &gt; Co-Founder &gt; President &gt; CEO &gt; Managing Partner &gt; COO &gt; People Operations Manager &gt; HR Manager</x:v>
      </x:c>
    </x:row>
    <x:row r="152" ht="42" customHeight="1">
      <x:c r="A152" t="str">
        <x:v>LSF Quality Control Center</x:v>
      </x:c>
      <x:c r="B152" t="str">
        <x:v>Food &amp; Beverage Operations</x:v>
      </x:c>
      <x:c r="C152" s="12" t="str">
        <x:v>Not visible</x:v>
      </x:c>
      <x:c r="D152" s="13" t="str">
        <x:v>Not visible</x:v>
      </x:c>
      <x:c r="E152" s="7" t="str">
        <x:v>Not verified</x:v>
      </x:c>
      <x:c r="F152" s="7" t="str">
        <x:v>https://www.legalseafoods.com/</x:v>
      </x:c>
      <x:c r="G152" t="str">
        <x:v>Boston</x:v>
      </x:c>
      <x:c r="H152" s="8" t="str">
        <x:v>Skrapp</x:v>
      </x:c>
      <x:c r="I152" s="8" t="str">
        <x:v>Not Started</x:v>
      </x:c>
      <x:c r="J152" s="8" t="str">
        <x:v>UNKNOWN_LOGISTICS_OPERATIONS</x:v>
      </x:c>
      <x:c r="K152" s="7" t="str">
        <x:f>IFERROR(VLOOKUP(J152,'TARGETING_RULES'!$A$6:$D$55,4,FALSE),"")</x:f>
        <x:v>Owner &gt; President &gt; CEO &gt; General Manager &gt; Operations Director &gt; Training Manager &gt; Safety Manager &gt; HR Director</x:v>
      </x:c>
    </x:row>
    <x:row r="153" ht="42" customHeight="1">
      <x:c r="A153" t="str">
        <x:v>Lyndra Therapeutics</x:v>
      </x:c>
      <x:c r="B153" t="str">
        <x:v>Biotechnology</x:v>
      </x:c>
      <x:c r="C153" s="12" t="str">
        <x:v>Not visible</x:v>
      </x:c>
      <x:c r="D153" s="13" t="str">
        <x:v>Not visible</x:v>
      </x:c>
      <x:c r="E153" s="7" t="str">
        <x:v>Not verified</x:v>
      </x:c>
      <x:c r="F153" s="7" t="str">
        <x:v>https://www.nortivabio.com/</x:v>
      </x:c>
      <x:c r="G153" t="str">
        <x:v>Watertown</x:v>
      </x:c>
      <x:c r="H153" s="8" t="str">
        <x:v>Skrapp</x:v>
      </x:c>
      <x:c r="I153" s="8" t="str">
        <x:v>Not Started</x:v>
      </x:c>
      <x:c r="J153" s="8" t="str">
        <x:v>UNKNOWN_TECH_PROFESSIONAL</x:v>
      </x:c>
      <x:c r="K153" s="7" t="str">
        <x:f>IFERROR(VLOOKUP(J153,'TARGETING_RULES'!$A$6:$D$55,4,FALSE),"")</x:f>
        <x:v>Owner &gt; Founder &gt; Co-Founder &gt; President &gt; CEO &gt; People Operations Director &gt; L&amp;D Director &gt; HR Director</x:v>
      </x:c>
    </x:row>
    <x:row r="154" ht="42" customHeight="1">
      <x:c r="A154" t="str">
        <x:v>Main Street Bank</x:v>
      </x:c>
      <x:c r="B154" t="str">
        <x:v>Banking</x:v>
      </x:c>
      <x:c r="C154" s="12" t="n">
        <x:v>161</x:v>
      </x:c>
      <x:c r="D154" s="13" t="str">
        <x:v>51-200</x:v>
      </x:c>
      <x:c r="E154" s="7" t="str">
        <x:v>https://www.linkedin.com/company/bankmainstreet</x:v>
      </x:c>
      <x:c r="F154" s="7" t="str">
        <x:v>https://www.bankmainstreet.com/</x:v>
      </x:c>
      <x:c r="G154" t="str">
        <x:v>Marlborough</x:v>
      </x:c>
      <x:c r="H154" s="8" t="str">
        <x:v>Skrapp</x:v>
      </x:c>
      <x:c r="I154" s="8" t="str">
        <x:v>Not Started</x:v>
      </x:c>
      <x:c r="J154" s="8" t="str">
        <x:v>MID_FINANCIAL_SERVICES</x:v>
      </x:c>
      <x:c r="K154" s="7" t="str">
        <x:f>IFERROR(VLOOKUP(J154,'TARGETING_RULES'!$A$6:$D$55,4,FALSE),"")</x:f>
        <x:v>HR Director &gt; L&amp;D Manager &gt; Training Manager &gt; COO &gt; Operations Director &gt; President &gt; CEO</x:v>
      </x:c>
    </x:row>
    <x:row r="155" ht="42" customHeight="1">
      <x:c r="A155" t="str">
        <x:v>Manny's Appliances, Inc</x:v>
      </x:c>
      <x:c r="B155" t="str">
        <x:v>Appliance Retail</x:v>
      </x:c>
      <x:c r="C155" s="12" t="n">
        <x:v>39</x:v>
      </x:c>
      <x:c r="D155" s="13" t="str">
        <x:v>51-200</x:v>
      </x:c>
      <x:c r="E155" s="7" t="str">
        <x:v>https://www.linkedin.com/company/mannysappliances</x:v>
      </x:c>
      <x:c r="F155" s="7" t="str">
        <x:v>https://www.mannysappliances.com/</x:v>
      </x:c>
      <x:c r="G155" t="str">
        <x:v>Greenfield</x:v>
      </x:c>
      <x:c r="H155" s="8" t="str">
        <x:v>Skrapp</x:v>
      </x:c>
      <x:c r="I155" s="8" t="str">
        <x:v>Not Started</x:v>
      </x:c>
      <x:c r="J155" s="8" t="str">
        <x:v>MID_HOSPITALITY_RETAIL</x:v>
      </x:c>
      <x:c r="K155" s="7" t="str">
        <x:f>IFERROR(VLOOKUP(J155,'TARGETING_RULES'!$A$6:$D$55,4,FALSE),"")</x:f>
        <x:v>General Manager &gt; Operations Director &gt; Training Director &gt; Training Manager &gt; HR Director &gt; Regional Manager &gt; President &gt; CEO</x:v>
      </x:c>
    </x:row>
    <x:row r="156" ht="42" customHeight="1">
      <x:c r="A156" t="str">
        <x:v>MASS MoCA</x:v>
      </x:c>
      <x:c r="B156" t="str">
        <x:v>Museums &amp; Cultural Institutions</x:v>
      </x:c>
      <x:c r="C156" s="12" t="n">
        <x:v>135</x:v>
      </x:c>
      <x:c r="D156" s="13" t="str">
        <x:v>51-200</x:v>
      </x:c>
      <x:c r="E156" s="7" t="str">
        <x:v>https://www.linkedin.com/company/mass-moca</x:v>
      </x:c>
      <x:c r="F156" s="7" t="str">
        <x:v>https://massmoca.org/</x:v>
      </x:c>
      <x:c r="G156" t="str">
        <x:v>North Adams</x:v>
      </x:c>
      <x:c r="H156" s="8" t="str">
        <x:v>Skrapp</x:v>
      </x:c>
      <x:c r="I156" s="8" t="str">
        <x:v>Not Started</x:v>
      </x:c>
      <x:c r="J156" s="8" t="str">
        <x:v>MID_NONPROFIT_SOCIAL</x:v>
      </x:c>
      <x:c r="K156" s="7" t="str">
        <x:f>IFERROR(VLOOKUP(J156,'TARGETING_RULES'!$A$6:$D$55,4,FALSE),"")</x:f>
        <x:v>Executive Director &gt; Workforce Development Director &gt; Training Director &gt; L&amp;D Director &gt; Operations Director &gt; HR Director</x:v>
      </x:c>
    </x:row>
    <x:row r="157" ht="42" customHeight="1">
      <x:c r="A157" t="str">
        <x:v>Materion Precision Optics &amp; Thin Film</x:v>
      </x:c>
      <x:c r="B157" t="str">
        <x:v>Optical Components Manufacturing</x:v>
      </x:c>
      <x:c r="C157" s="12" t="n">
        <x:v>153</x:v>
      </x:c>
      <x:c r="D157" s="13" t="str">
        <x:v>501-1,000</x:v>
      </x:c>
      <x:c r="E157" s="7" t="str">
        <x:v>https://www.linkedin.com/company/materionbalzersoptics</x:v>
      </x:c>
      <x:c r="F157" s="7" t="str">
        <x:v>https://www.materion.com/</x:v>
      </x:c>
      <x:c r="G157" t="str">
        <x:v>Westford</x:v>
      </x:c>
      <x:c r="H157" s="8" t="str">
        <x:v>Skrapp</x:v>
      </x:c>
      <x:c r="I157" s="8" t="str">
        <x:v>Not Started</x:v>
      </x:c>
      <x:c r="J157" s="8" t="str">
        <x:v>LARGE_MANUFACTURING</x:v>
      </x:c>
      <x:c r="K157" s="7" t="str">
        <x:f>IFERROR(VLOOKUP(J157,'TARGETING_RULES'!$A$6:$D$55,4,FALSE),"")</x:f>
        <x:v>Plant Manager &gt; Operations Director &gt; Training Director &gt; L&amp;D Director &gt; HR Director &gt; Safety Director &gt; VP of Operations</x:v>
      </x:c>
    </x:row>
    <x:row r="158" ht="42" customHeight="1">
      <x:c r="A158" t="str">
        <x:v>Matouk Textile Works</x:v>
      </x:c>
      <x:c r="B158" t="str">
        <x:v>Textiles Manufacturing</x:v>
      </x:c>
      <x:c r="C158" s="12" t="n">
        <x:v>118</x:v>
      </x:c>
      <x:c r="D158" s="13" t="str">
        <x:v>201-500</x:v>
      </x:c>
      <x:c r="E158" s="7" t="str">
        <x:v>https://www.linkedin.com/company/matouk-%26-co-</x:v>
      </x:c>
      <x:c r="F158" s="7" t="str">
        <x:v>https://www.matouk.com/</x:v>
      </x:c>
      <x:c r="G158" t="str">
        <x:v>Fall River</x:v>
      </x:c>
      <x:c r="H158" s="8" t="str">
        <x:v>Skrapp</x:v>
      </x:c>
      <x:c r="I158" s="8" t="str">
        <x:v>Not Started</x:v>
      </x:c>
      <x:c r="J158" s="8" t="str">
        <x:v>LARGE_MANUFACTURING</x:v>
      </x:c>
      <x:c r="K158" s="7" t="str">
        <x:f>IFERROR(VLOOKUP(J158,'TARGETING_RULES'!$A$6:$D$55,4,FALSE),"")</x:f>
        <x:v>Plant Manager &gt; Operations Director &gt; Training Director &gt; L&amp;D Director &gt; HR Director &gt; Safety Director &gt; VP of Operations</x:v>
      </x:c>
    </x:row>
    <x:row r="159" ht="42" customHeight="1">
      <x:c r="A159" t="str">
        <x:v>Maugel Architects, Inc.</x:v>
      </x:c>
      <x:c r="B159" t="str">
        <x:v>Architecture &amp; Planning</x:v>
      </x:c>
      <x:c r="C159" s="12" t="n">
        <x:v>33</x:v>
      </x:c>
      <x:c r="D159" s="13" t="str">
        <x:v>11-50</x:v>
      </x:c>
      <x:c r="E159" s="7" t="str">
        <x:v>https://www.linkedin.com/company/maugel-destefano-architects</x:v>
      </x:c>
      <x:c r="F159" s="7" t="str">
        <x:v>https://www.maugel.com/</x:v>
      </x:c>
      <x:c r="G159" t="str">
        <x:v>Harvard</x:v>
      </x:c>
      <x:c r="H159" s="8" t="str">
        <x:v>Skrapp</x:v>
      </x:c>
      <x:c r="I159" s="8" t="str">
        <x:v>Not Started</x:v>
      </x:c>
      <x:c r="J159" s="8" t="str">
        <x:v>SMALL_TECH_PROFESSIONAL</x:v>
      </x:c>
      <x:c r="K159" s="7" t="str">
        <x:f>IFERROR(VLOOKUP(J159,'TARGETING_RULES'!$A$6:$D$55,4,FALSE),"")</x:f>
        <x:v>Owner &gt; Founder &gt; Co-Founder &gt; President &gt; CEO &gt; Managing Partner &gt; COO &gt; People Operations Manager &gt; HR Manager</x:v>
      </x:c>
    </x:row>
    <x:row r="160" ht="42" customHeight="1">
      <x:c r="A160" t="str">
        <x:v>Medford Wellington</x:v>
      </x:c>
      <x:c r="B160" t="str">
        <x:v>HVAC &amp; Plumbing Services</x:v>
      </x:c>
      <x:c r="C160" s="12" t="n">
        <x:v>97</x:v>
      </x:c>
      <x:c r="D160" s="13" t="str">
        <x:v>51-200</x:v>
      </x:c>
      <x:c r="E160" s="7" t="str">
        <x:v>https://www.linkedin.com/company/medford-wellington-svc-co</x:v>
      </x:c>
      <x:c r="F160" s="7" t="str">
        <x:v>https://medfordwellington.com/</x:v>
      </x:c>
      <x:c r="G160" t="str">
        <x:v>Medford</x:v>
      </x:c>
      <x:c r="H160" s="8" t="str">
        <x:v>Skrapp</x:v>
      </x:c>
      <x:c r="I160" s="8" t="str">
        <x:v>Not Started</x:v>
      </x:c>
      <x:c r="J160" s="8" t="str">
        <x:v>MID_CONSTRUCTION_TRADES</x:v>
      </x:c>
      <x:c r="K160" s="7" t="str">
        <x:f>IFERROR(VLOOKUP(J160,'TARGETING_RULES'!$A$6:$D$55,4,FALSE),"")</x:f>
        <x:v>Operations Director &gt; Safety Director &gt; Safety Manager &gt; Training Manager &gt; HR Director &gt; HR Manager &gt; President &gt; CEO</x:v>
      </x:c>
    </x:row>
    <x:row r="161" ht="42" customHeight="1">
      <x:c r="A161" t="str">
        <x:v>Meninno Brothers Gourmet Foods</x:v>
      </x:c>
      <x:c r="B161" t="str">
        <x:v>Food Manufacturing</x:v>
      </x:c>
      <x:c r="C161" s="12" t="n">
        <x:v>13</x:v>
      </x:c>
      <x:c r="D161" s="13" t="str">
        <x:v>51-200</x:v>
      </x:c>
      <x:c r="E161" s="7" t="str">
        <x:v>https://www.linkedin.com/company/meninno-brothers-gourmet-foods</x:v>
      </x:c>
      <x:c r="F161" s="7" t="str">
        <x:v>https://www.meninnobrothers.com/</x:v>
      </x:c>
      <x:c r="G161" t="str">
        <x:v>Danvers</x:v>
      </x:c>
      <x:c r="H161" s="8" t="str">
        <x:v>Skrapp</x:v>
      </x:c>
      <x:c r="I161" s="8" t="str">
        <x:v>Not Started</x:v>
      </x:c>
      <x:c r="J161" s="8" t="str">
        <x:v>MID_MANUFACTURING</x:v>
      </x:c>
      <x:c r="K161" s="7" t="str">
        <x:f>IFERROR(VLOOKUP(J161,'TARGETING_RULES'!$A$6:$D$55,4,FALSE),"")</x:f>
        <x:v>Plant Manager &gt; Operations Director &gt; HR Director &gt; Training Manager &gt; Safety Manager &gt; President &gt; CEO</x:v>
      </x:c>
    </x:row>
    <x:row r="162" ht="42" customHeight="1">
      <x:c r="A162" t="str">
        <x:v>Mide Technologies</x:v>
      </x:c>
      <x:c r="B162" t="str">
        <x:v>Engineering &amp; Sensor Technology</x:v>
      </x:c>
      <x:c r="C162" s="12" t="n">
        <x:v>69</x:v>
      </x:c>
      <x:c r="D162" s="13" t="str">
        <x:v>51-200</x:v>
      </x:c>
      <x:c r="E162" s="7" t="str">
        <x:v>https://www.linkedin.com/company/mide-technology-corporation</x:v>
      </x:c>
      <x:c r="F162" s="7" t="str">
        <x:v>https://www.midetechnology.com/</x:v>
      </x:c>
      <x:c r="G162" t="str">
        <x:v>Woburn</x:v>
      </x:c>
      <x:c r="H162" s="8" t="str">
        <x:v>Skrapp</x:v>
      </x:c>
      <x:c r="I162" s="8" t="str">
        <x:v>Not Started</x:v>
      </x:c>
      <x:c r="J162" s="8" t="str">
        <x:v>MID_TECH_PROFESSIONAL</x:v>
      </x:c>
      <x:c r="K162" s="7" t="str">
        <x:f>IFERROR(VLOOKUP(J162,'TARGETING_RULES'!$A$6:$D$55,4,FALSE),"")</x:f>
        <x:v>People Operations Director &gt; HR Director &gt; L&amp;D Manager &gt; Talent Development Manager &gt; Operations Director &gt; Managing Partner &gt; CEO</x:v>
      </x:c>
    </x:row>
    <x:row r="163" ht="42" customHeight="1">
      <x:c r="A163" t="str">
        <x:v>MKS Instruments</x:v>
      </x:c>
      <x:c r="B163" t="str">
        <x:v>Semiconductor Equipment Manufacturing</x:v>
      </x:c>
      <x:c r="C163" s="12" t="n">
        <x:v>4633</x:v>
      </x:c>
      <x:c r="D163" s="13" t="str">
        <x:v>10,001+</x:v>
      </x:c>
      <x:c r="E163" s="7" t="str">
        <x:v>https://www.linkedin.com/company/mks-instruments</x:v>
      </x:c>
      <x:c r="F163" s="7" t="str">
        <x:v>https://www.mks.com/</x:v>
      </x:c>
      <x:c r="G163" t="str">
        <x:v>Andover</x:v>
      </x:c>
      <x:c r="H163" s="8" t="str">
        <x:v>Skrapp</x:v>
      </x:c>
      <x:c r="I163" s="8" t="str">
        <x:v>Not Started</x:v>
      </x:c>
      <x:c r="J163" s="8" t="str">
        <x:v>ENTERPRISE_MANUFACTURING</x:v>
      </x:c>
      <x:c r="K163" s="7" t="str">
        <x:f>IFERROR(VLOOKUP(J163,'TARGETING_RULES'!$A$6:$D$55,4,FALSE),"")</x:f>
        <x:v>Plant Manager &gt; Training Director &gt; L&amp;D Director &gt; Workforce Development Director &gt; Operations Director &gt; HR Director &gt; VP of HR</x:v>
      </x:c>
    </x:row>
    <x:row r="164" ht="42" customHeight="1">
      <x:c r="A164" t="str">
        <x:v>Monogram Foods</x:v>
      </x:c>
      <x:c r="B164" t="str">
        <x:v>Food Manufacturing</x:v>
      </x:c>
      <x:c r="C164" s="12" t="n">
        <x:v>1363</x:v>
      </x:c>
      <x:c r="D164" s="13" t="str">
        <x:v>1,001-5,000</x:v>
      </x:c>
      <x:c r="E164" s="7" t="str">
        <x:v>https://www.linkedin.com/company/monogramfoods</x:v>
      </x:c>
      <x:c r="F164" s="7" t="str">
        <x:v>https://www.monogramfoods.com/</x:v>
      </x:c>
      <x:c r="G164" t="str">
        <x:v>Wilmington</x:v>
      </x:c>
      <x:c r="H164" s="8" t="str">
        <x:v>Skrapp</x:v>
      </x:c>
      <x:c r="I164" s="8" t="str">
        <x:v>Not Started</x:v>
      </x:c>
      <x:c r="J164" s="8" t="str">
        <x:v>ENTERPRISE_MANUFACTURING</x:v>
      </x:c>
      <x:c r="K164" s="7" t="str">
        <x:f>IFERROR(VLOOKUP(J164,'TARGETING_RULES'!$A$6:$D$55,4,FALSE),"")</x:f>
        <x:v>Plant Manager &gt; Training Director &gt; L&amp;D Director &gt; Workforce Development Director &gt; Operations Director &gt; HR Director &gt; VP of HR</x:v>
      </x:c>
    </x:row>
    <x:row r="165" ht="42" customHeight="1">
      <x:c r="A165" t="str">
        <x:v>MSG Staffing Inc</x:v>
      </x:c>
      <x:c r="B165" t="str">
        <x:v>Staffing &amp; Recruiting</x:v>
      </x:c>
      <x:c r="C165" s="12" t="str">
        <x:v>Not visible</x:v>
      </x:c>
      <x:c r="D165" s="13" t="str">
        <x:v>Not visible</x:v>
      </x:c>
      <x:c r="E165" s="7" t="str">
        <x:v>Not verified</x:v>
      </x:c>
      <x:c r="F165" s="7" t="str">
        <x:v>https://msgstaffing.com/</x:v>
      </x:c>
      <x:c r="G165" t="str">
        <x:v>Worcester</x:v>
      </x:c>
      <x:c r="H165" s="8" t="str">
        <x:v>Skrapp</x:v>
      </x:c>
      <x:c r="I165" s="8" t="str">
        <x:v>Not Started</x:v>
      </x:c>
      <x:c r="J165" s="8" t="str">
        <x:v>UNKNOWN_TECH_PROFESSIONAL</x:v>
      </x:c>
      <x:c r="K165" s="7" t="str">
        <x:f>IFERROR(VLOOKUP(J165,'TARGETING_RULES'!$A$6:$D$55,4,FALSE),"")</x:f>
        <x:v>Owner &gt; Founder &gt; Co-Founder &gt; President &gt; CEO &gt; People Operations Director &gt; L&amp;D Director &gt; HR Director</x:v>
      </x:c>
    </x:row>
    <x:row r="166" ht="42" customHeight="1">
      <x:c r="A166" t="str">
        <x:v>Munters Corporation</x:v>
      </x:c>
      <x:c r="B166" t="str">
        <x:v>Industrial Climate Control Equipment</x:v>
      </x:c>
      <x:c r="C166" s="12" t="n">
        <x:v>2629</x:v>
      </x:c>
      <x:c r="D166" s="13" t="str">
        <x:v>1,001-5,000</x:v>
      </x:c>
      <x:c r="E166" s="7" t="str">
        <x:v>https://www.linkedin.com/company/munters</x:v>
      </x:c>
      <x:c r="F166" s="7" t="str">
        <x:v>https://www.munters.com/</x:v>
      </x:c>
      <x:c r="G166" t="str">
        <x:v>Amesbury</x:v>
      </x:c>
      <x:c r="H166" s="8" t="str">
        <x:v>Skrapp</x:v>
      </x:c>
      <x:c r="I166" s="8" t="str">
        <x:v>Not Started</x:v>
      </x:c>
      <x:c r="J166" s="8" t="str">
        <x:v>ENTERPRISE_MANUFACTURING</x:v>
      </x:c>
      <x:c r="K166" s="7" t="str">
        <x:f>IFERROR(VLOOKUP(J166,'TARGETING_RULES'!$A$6:$D$55,4,FALSE),"")</x:f>
        <x:v>Plant Manager &gt; Training Director &gt; L&amp;D Director &gt; Workforce Development Director &gt; Operations Director &gt; HR Director &gt; VP of HR</x:v>
      </x:c>
    </x:row>
    <x:row r="167" ht="42" customHeight="1">
      <x:c r="A167" t="str">
        <x:v>Nanoramic Laboratories</x:v>
      </x:c>
      <x:c r="B167" t="str">
        <x:v>Advanced Materials &amp; Energy Storage</x:v>
      </x:c>
      <x:c r="C167" s="12" t="n">
        <x:v>50</x:v>
      </x:c>
      <x:c r="D167" s="13" t="str">
        <x:v>11-50</x:v>
      </x:c>
      <x:c r="E167" s="7" t="str">
        <x:v>https://www.linkedin.com/company/nanoramic</x:v>
      </x:c>
      <x:c r="F167" s="7" t="str">
        <x:v>https://www.nanoramic.com/</x:v>
      </x:c>
      <x:c r="G167" t="str">
        <x:v>Boston</x:v>
      </x:c>
      <x:c r="H167" s="8" t="str">
        <x:v>Skrapp</x:v>
      </x:c>
      <x:c r="I167" s="8" t="str">
        <x:v>Not Started</x:v>
      </x:c>
      <x:c r="J167" s="8" t="str">
        <x:v>SMALL_MANUFACTURING</x:v>
      </x:c>
      <x:c r="K167" s="7" t="str">
        <x:f>IFERROR(VLOOKUP(J167,'TARGETING_RULES'!$A$6:$D$55,4,FALSE),"")</x:f>
        <x:v>Owner &gt; Founder &gt; Co-Founder &gt; President &gt; CEO &gt; Plant Manager &gt; Operations Manager &gt; Training Manager &gt; HR Manager</x:v>
      </x:c>
    </x:row>
    <x:row r="168" ht="42" customHeight="1">
      <x:c r="A168" t="str">
        <x:v>NeuroLogica</x:v>
      </x:c>
      <x:c r="B168" t="str">
        <x:v>Medical Device Manufacturing</x:v>
      </x:c>
      <x:c r="C168" s="12" t="n">
        <x:v>246</x:v>
      </x:c>
      <x:c r="D168" s="13" t="str">
        <x:v>51-200</x:v>
      </x:c>
      <x:c r="E168" s="7" t="str">
        <x:v>https://www.linkedin.com/company/neurologica</x:v>
      </x:c>
      <x:c r="F168" s="7" t="str">
        <x:v>https://www.neurologica.com/</x:v>
      </x:c>
      <x:c r="G168" t="str">
        <x:v>Danvers</x:v>
      </x:c>
      <x:c r="H168" s="8" t="str">
        <x:v>Skrapp</x:v>
      </x:c>
      <x:c r="I168" s="8" t="str">
        <x:v>Not Started</x:v>
      </x:c>
      <x:c r="J168" s="8" t="str">
        <x:v>LARGE_MANUFACTURING</x:v>
      </x:c>
      <x:c r="K168" s="7" t="str">
        <x:f>IFERROR(VLOOKUP(J168,'TARGETING_RULES'!$A$6:$D$55,4,FALSE),"")</x:f>
        <x:v>Plant Manager &gt; Operations Director &gt; Training Director &gt; L&amp;D Director &gt; HR Director &gt; Safety Director &gt; VP of Operations</x:v>
      </x:c>
    </x:row>
    <x:row r="169" ht="42" customHeight="1">
      <x:c r="A169" t="str">
        <x:v>New England Appliance Group</x:v>
      </x:c>
      <x:c r="B169" t="str">
        <x:v>Appliance Retail</x:v>
      </x:c>
      <x:c r="C169" s="12" t="str">
        <x:v>Not visible</x:v>
      </x:c>
      <x:c r="D169" s="13" t="str">
        <x:v>51-200</x:v>
      </x:c>
      <x:c r="E169" s="7" t="str">
        <x:v>https://www.linkedin.com/company/ne-appliance-group</x:v>
      </x:c>
      <x:c r="F169" s="7" t="str">
        <x:v>https://www.neappliance.com/</x:v>
      </x:c>
      <x:c r="G169" t="str">
        <x:v>Franklin</x:v>
      </x:c>
      <x:c r="H169" s="8" t="str">
        <x:v>Skrapp</x:v>
      </x:c>
      <x:c r="I169" s="8" t="str">
        <x:v>Not Started</x:v>
      </x:c>
      <x:c r="J169" s="8" t="str">
        <x:v>MID_HOSPITALITY_RETAIL</x:v>
      </x:c>
      <x:c r="K169" s="7" t="str">
        <x:f>IFERROR(VLOOKUP(J169,'TARGETING_RULES'!$A$6:$D$55,4,FALSE),"")</x:f>
        <x:v>General Manager &gt; Operations Director &gt; Training Director &gt; Training Manager &gt; HR Director &gt; Regional Manager &gt; President &gt; CEO</x:v>
      </x:c>
    </x:row>
    <x:row r="170" ht="42" customHeight="1">
      <x:c r="A170" t="str">
        <x:v>Nitor</x:v>
      </x:c>
      <x:c r="B170" t="str">
        <x:v>Laser Cutting &amp; Metal Fabrication</x:v>
      </x:c>
      <x:c r="C170" s="12" t="str">
        <x:v>Not visible</x:v>
      </x:c>
      <x:c r="D170" s="13" t="str">
        <x:v>Not visible</x:v>
      </x:c>
      <x:c r="E170" s="7" t="str">
        <x:v>Not verified</x:v>
      </x:c>
      <x:c r="F170" s="7" t="str">
        <x:v>https://nitorlaser.com/</x:v>
      </x:c>
      <x:c r="G170" t="str">
        <x:v>Southwick</x:v>
      </x:c>
      <x:c r="H170" s="8" t="str">
        <x:v>Skrapp</x:v>
      </x:c>
      <x:c r="I170" s="8" t="str">
        <x:v>Not Started</x:v>
      </x:c>
      <x:c r="J170" s="8" t="str">
        <x:v>UNKNOWN_MANUFACTURING</x:v>
      </x:c>
      <x:c r="K170" s="7" t="str">
        <x:f>IFERROR(VLOOKUP(J170,'TARGETING_RULES'!$A$6:$D$55,4,FALSE),"")</x:f>
        <x:v>Owner &gt; President &gt; CEO &gt; Plant Manager &gt; Operations Director &gt; Training Manager &gt; HR Director</x:v>
      </x:c>
    </x:row>
    <x:row r="171" ht="42" customHeight="1">
      <x:c r="A171" t="str">
        <x:v>Northern Tree Service</x:v>
      </x:c>
      <x:c r="B171" t="str">
        <x:v>Tree Care Services</x:v>
      </x:c>
      <x:c r="C171" s="12" t="str">
        <x:v>Not visible</x:v>
      </x:c>
      <x:c r="D171" s="13" t="str">
        <x:v>11-50</x:v>
      </x:c>
      <x:c r="E171" s="7" t="str">
        <x:v>https://www.linkedin.com/company/northern-tree-service</x:v>
      </x:c>
      <x:c r="F171" s="7" t="str">
        <x:v>https://www.northerntree.com/</x:v>
      </x:c>
      <x:c r="G171" t="str">
        <x:v>Palmer</x:v>
      </x:c>
      <x:c r="H171" s="8" t="str">
        <x:v>Skrapp</x:v>
      </x:c>
      <x:c r="I171" s="8" t="str">
        <x:v>Not Started</x:v>
      </x:c>
      <x:c r="J171" s="8" t="str">
        <x:v>SMALL_CONSTRUCTION_TRADES</x:v>
      </x:c>
      <x:c r="K171" s="7" t="str">
        <x:f>IFERROR(VLOOKUP(J171,'TARGETING_RULES'!$A$6:$D$55,4,FALSE),"")</x:f>
        <x:v>Owner &gt; Founder &gt; Co-Founder &gt; President &gt; CEO &gt; Operations Manager &gt; Safety Manager &gt; Training Manager &gt; HR Manager</x:v>
      </x:c>
    </x:row>
    <x:row r="172" ht="42" customHeight="1">
      <x:c r="A172" t="str">
        <x:v>Nuclera Corporation</x:v>
      </x:c>
      <x:c r="B172" t="str">
        <x:v>Biotechnology &amp; Lab Instruments</x:v>
      </x:c>
      <x:c r="C172" s="12" t="n">
        <x:v>120</x:v>
      </x:c>
      <x:c r="D172" s="13" t="str">
        <x:v>51-200</x:v>
      </x:c>
      <x:c r="E172" s="7" t="str">
        <x:v>https://www.linkedin.com/company/nuclera</x:v>
      </x:c>
      <x:c r="F172" s="7" t="str">
        <x:v>https://www.nuclera.com/</x:v>
      </x:c>
      <x:c r="G172" t="str">
        <x:v>Billerica</x:v>
      </x:c>
      <x:c r="H172" s="8" t="str">
        <x:v>Skrapp</x:v>
      </x:c>
      <x:c r="I172" s="8" t="str">
        <x:v>Not Started</x:v>
      </x:c>
      <x:c r="J172" s="8" t="str">
        <x:v>MID_TECH_PROFESSIONAL</x:v>
      </x:c>
      <x:c r="K172" s="7" t="str">
        <x:f>IFERROR(VLOOKUP(J172,'TARGETING_RULES'!$A$6:$D$55,4,FALSE),"")</x:f>
        <x:v>People Operations Director &gt; HR Director &gt; L&amp;D Manager &gt; Talent Development Manager &gt; Operations Director &gt; Managing Partner &gt; CEO</x:v>
      </x:c>
    </x:row>
    <x:row r="173" ht="42" customHeight="1">
      <x:c r="A173" t="str">
        <x:v>Onto Innovation</x:v>
      </x:c>
      <x:c r="B173" t="str">
        <x:v>Semiconductor Equipment Manufacturing</x:v>
      </x:c>
      <x:c r="C173" s="12" t="n">
        <x:v>1373</x:v>
      </x:c>
      <x:c r="D173" s="13" t="str">
        <x:v>1,001-5,000</x:v>
      </x:c>
      <x:c r="E173" s="7" t="str">
        <x:v>https://www.linkedin.com/company/onto-innovation</x:v>
      </x:c>
      <x:c r="F173" s="7" t="str">
        <x:v>https://ontoinnovation.com/</x:v>
      </x:c>
      <x:c r="G173" t="str">
        <x:v>Wilmington</x:v>
      </x:c>
      <x:c r="H173" s="8" t="str">
        <x:v>Skrapp</x:v>
      </x:c>
      <x:c r="I173" s="8" t="str">
        <x:v>Not Started</x:v>
      </x:c>
      <x:c r="J173" s="8" t="str">
        <x:v>ENTERPRISE_MANUFACTURING</x:v>
      </x:c>
      <x:c r="K173" s="7" t="str">
        <x:f>IFERROR(VLOOKUP(J173,'TARGETING_RULES'!$A$6:$D$55,4,FALSE),"")</x:f>
        <x:v>Plant Manager &gt; Training Director &gt; L&amp;D Director &gt; Workforce Development Director &gt; Operations Director &gt; HR Director &gt; VP of HR</x:v>
      </x:c>
    </x:row>
    <x:row r="174" ht="42" customHeight="1">
      <x:c r="A174" t="str">
        <x:v>Optikos</x:v>
      </x:c>
      <x:c r="B174" t="str">
        <x:v>Optical Engineering &amp; Testing</x:v>
      </x:c>
      <x:c r="C174" s="12" t="n">
        <x:v>103</x:v>
      </x:c>
      <x:c r="D174" s="13" t="str">
        <x:v>51-200</x:v>
      </x:c>
      <x:c r="E174" s="7" t="str">
        <x:v>https://www.linkedin.com/company/optikos-llc</x:v>
      </x:c>
      <x:c r="F174" s="7" t="str">
        <x:v>https://www.optikos.com/</x:v>
      </x:c>
      <x:c r="G174" t="str">
        <x:v>Wakefield</x:v>
      </x:c>
      <x:c r="H174" s="8" t="str">
        <x:v>Skrapp</x:v>
      </x:c>
      <x:c r="I174" s="8" t="str">
        <x:v>Not Started</x:v>
      </x:c>
      <x:c r="J174" s="8" t="str">
        <x:v>MID_TECH_PROFESSIONAL</x:v>
      </x:c>
      <x:c r="K174" s="7" t="str">
        <x:f>IFERROR(VLOOKUP(J174,'TARGETING_RULES'!$A$6:$D$55,4,FALSE),"")</x:f>
        <x:v>People Operations Director &gt; HR Director &gt; L&amp;D Manager &gt; Talent Development Manager &gt; Operations Director &gt; Managing Partner &gt; CEO</x:v>
      </x:c>
    </x:row>
    <x:row r="175" ht="42" customHeight="1">
      <x:c r="A175" t="str">
        <x:v>Outdoor Pride Landscaping</x:v>
      </x:c>
      <x:c r="B175" t="str">
        <x:v>Landscaping Services</x:v>
      </x:c>
      <x:c r="C175" s="12" t="str">
        <x:v>Not visible</x:v>
      </x:c>
      <x:c r="D175" s="13" t="str">
        <x:v>51-200</x:v>
      </x:c>
      <x:c r="E175" s="7" t="str">
        <x:v>https://www.linkedin.com/company/outdoor-pride-landscaping</x:v>
      </x:c>
      <x:c r="F175" s="7" t="str">
        <x:v>https://www.outdoorpride.com/</x:v>
      </x:c>
      <x:c r="G175" t="str">
        <x:v>Chelmsford</x:v>
      </x:c>
      <x:c r="H175" s="8" t="str">
        <x:v>Skrapp</x:v>
      </x:c>
      <x:c r="I175" s="8" t="str">
        <x:v>Not Started</x:v>
      </x:c>
      <x:c r="J175" s="8" t="str">
        <x:v>MID_CONSTRUCTION_TRADES</x:v>
      </x:c>
      <x:c r="K175" s="7" t="str">
        <x:f>IFERROR(VLOOKUP(J175,'TARGETING_RULES'!$A$6:$D$55,4,FALSE),"")</x:f>
        <x:v>Operations Director &gt; Safety Director &gt; Safety Manager &gt; Training Manager &gt; HR Director &gt; HR Manager &gt; President &gt; CEO</x:v>
      </x:c>
    </x:row>
    <x:row r="176" ht="42" customHeight="1">
      <x:c r="A176" t="str">
        <x:v>PBNA</x:v>
      </x:c>
      <x:c r="B176" t="str">
        <x:v>Beverage Manufacturing &amp; Distribution</x:v>
      </x:c>
      <x:c r="C176" s="12" t="str">
        <x:v>Not visible</x:v>
      </x:c>
      <x:c r="D176" s="13" t="str">
        <x:v>10,001+</x:v>
      </x:c>
      <x:c r="E176" s="7" t="str">
        <x:v>https://www.linkedin.com/company/pepsico</x:v>
      </x:c>
      <x:c r="F176" s="7" t="str">
        <x:v>https://www.pepsico.com/</x:v>
      </x:c>
      <x:c r="G176" t="str">
        <x:v>Norwood</x:v>
      </x:c>
      <x:c r="H176" s="8" t="str">
        <x:v>Skrapp</x:v>
      </x:c>
      <x:c r="I176" s="8" t="str">
        <x:v>Not Started</x:v>
      </x:c>
      <x:c r="J176" s="8" t="str">
        <x:v>ENTERPRISE_MANUFACTURING</x:v>
      </x:c>
      <x:c r="K176" s="7" t="str">
        <x:f>IFERROR(VLOOKUP(J176,'TARGETING_RULES'!$A$6:$D$55,4,FALSE),"")</x:f>
        <x:v>Plant Manager &gt; Training Director &gt; L&amp;D Director &gt; Workforce Development Director &gt; Operations Director &gt; HR Director &gt; VP of HR</x:v>
      </x:c>
    </x:row>
    <x:row r="177" ht="42" customHeight="1">
      <x:c r="A177" t="str">
        <x:v>Plansee USA</x:v>
      </x:c>
      <x:c r="B177" t="str">
        <x:v>Metals Manufacturing</x:v>
      </x:c>
      <x:c r="C177" s="12" t="str">
        <x:v>Not visible</x:v>
      </x:c>
      <x:c r="D177" s="13" t="str">
        <x:v>Not visible</x:v>
      </x:c>
      <x:c r="E177" s="7" t="str">
        <x:v>https://www.linkedin.com/company/plansee</x:v>
      </x:c>
      <x:c r="F177" s="7" t="str">
        <x:v>https://www.plansee.com/</x:v>
      </x:c>
      <x:c r="G177" t="str">
        <x:v>Franklin</x:v>
      </x:c>
      <x:c r="H177" s="8" t="str">
        <x:v>Skrapp</x:v>
      </x:c>
      <x:c r="I177" s="8" t="str">
        <x:v>Not Started</x:v>
      </x:c>
      <x:c r="J177" s="8" t="str">
        <x:v>UNKNOWN_MANUFACTURING</x:v>
      </x:c>
      <x:c r="K177" s="7" t="str">
        <x:f>IFERROR(VLOOKUP(J177,'TARGETING_RULES'!$A$6:$D$55,4,FALSE),"")</x:f>
        <x:v>Owner &gt; President &gt; CEO &gt; Plant Manager &gt; Operations Director &gt; Training Manager &gt; HR Director</x:v>
      </x:c>
    </x:row>
    <x:row r="178" ht="42" customHeight="1">
      <x:c r="A178" t="str">
        <x:v>Polyvinyl Films</x:v>
      </x:c>
      <x:c r="B178" t="str">
        <x:v>Plastics Manufacturing</x:v>
      </x:c>
      <x:c r="C178" s="12" t="n">
        <x:v>56</x:v>
      </x:c>
      <x:c r="D178" s="13" t="str">
        <x:v>51-200</x:v>
      </x:c>
      <x:c r="E178" s="7" t="str">
        <x:v>https://www.linkedin.com/company/polyvinyl-films-inc-</x:v>
      </x:c>
      <x:c r="F178" s="7" t="str">
        <x:v>https://www.polyvinylfilms.com/</x:v>
      </x:c>
      <x:c r="G178" t="str">
        <x:v>Sutton</x:v>
      </x:c>
      <x:c r="H178" s="8" t="str">
        <x:v>Skrapp</x:v>
      </x:c>
      <x:c r="I178" s="8" t="str">
        <x:v>Not Started</x:v>
      </x:c>
      <x:c r="J178" s="8" t="str">
        <x:v>MID_MANUFACTURING</x:v>
      </x:c>
      <x:c r="K178" s="7" t="str">
        <x:f>IFERROR(VLOOKUP(J178,'TARGETING_RULES'!$A$6:$D$55,4,FALSE),"")</x:f>
        <x:v>Plant Manager &gt; Operations Director &gt; HR Director &gt; Training Manager &gt; Safety Manager &gt; President &gt; CEO</x:v>
      </x:c>
    </x:row>
    <x:row r="179" ht="42" customHeight="1">
      <x:c r="A179" t="str">
        <x:v>Precision Coating</x:v>
      </x:c>
      <x:c r="B179" t="str">
        <x:v>Medical &amp; Industrial Coatings</x:v>
      </x:c>
      <x:c r="C179" s="12" t="str">
        <x:v>Not visible</x:v>
      </x:c>
      <x:c r="D179" s="13" t="str">
        <x:v>201-500</x:v>
      </x:c>
      <x:c r="E179" s="7" t="str">
        <x:v>https://www.linkedin.com/company/precision-coating</x:v>
      </x:c>
      <x:c r="F179" s="7" t="str">
        <x:v>https://www.precisioncoating.com/</x:v>
      </x:c>
      <x:c r="G179" t="str">
        <x:v>Hudson</x:v>
      </x:c>
      <x:c r="H179" s="8" t="str">
        <x:v>Skrapp</x:v>
      </x:c>
      <x:c r="I179" s="8" t="str">
        <x:v>Not Started</x:v>
      </x:c>
      <x:c r="J179" s="8" t="str">
        <x:v>LARGE_MANUFACTURING</x:v>
      </x:c>
      <x:c r="K179" s="7" t="str">
        <x:f>IFERROR(VLOOKUP(J179,'TARGETING_RULES'!$A$6:$D$55,4,FALSE),"")</x:f>
        <x:v>Plant Manager &gt; Operations Director &gt; Training Director &gt; L&amp;D Director &gt; HR Director &gt; Safety Director &gt; VP of Operations</x:v>
      </x:c>
    </x:row>
    <x:row r="180" ht="42" customHeight="1">
      <x:c r="A180" t="str">
        <x:v>Premier Fence</x:v>
      </x:c>
      <x:c r="B180" t="str">
        <x:v>Fencing &amp; Construction</x:v>
      </x:c>
      <x:c r="C180" s="12" t="n">
        <x:v>82</x:v>
      </x:c>
      <x:c r="D180" s="13" t="str">
        <x:v>51-200</x:v>
      </x:c>
      <x:c r="E180" s="7" t="str">
        <x:v>https://www.linkedin.com/company/premier-fence-llc</x:v>
      </x:c>
      <x:c r="F180" s="7" t="str">
        <x:v>https://www.premier-fence.com/</x:v>
      </x:c>
      <x:c r="G180" t="str">
        <x:v>Canton</x:v>
      </x:c>
      <x:c r="H180" s="8" t="str">
        <x:v>Skrapp</x:v>
      </x:c>
      <x:c r="I180" s="8" t="str">
        <x:v>Not Started</x:v>
      </x:c>
      <x:c r="J180" s="8" t="str">
        <x:v>MID_CONSTRUCTION_TRADES</x:v>
      </x:c>
      <x:c r="K180" s="7" t="str">
        <x:f>IFERROR(VLOOKUP(J180,'TARGETING_RULES'!$A$6:$D$55,4,FALSE),"")</x:f>
        <x:v>Operations Director &gt; Safety Director &gt; Safety Manager &gt; Training Manager &gt; HR Director &gt; HR Manager &gt; President &gt; CEO</x:v>
      </x:c>
    </x:row>
    <x:row r="181" ht="42" customHeight="1">
      <x:c r="A181" t="str">
        <x:v>Primetals Technologies</x:v>
      </x:c>
      <x:c r="B181" t="str">
        <x:v>Industrial Machinery Manufacturing</x:v>
      </x:c>
      <x:c r="C181" s="12" t="n">
        <x:v>4029</x:v>
      </x:c>
      <x:c r="D181" s="13" t="str">
        <x:v>5,001-10,000</x:v>
      </x:c>
      <x:c r="E181" s="7" t="str">
        <x:v>https://www.linkedin.com/company/primetals</x:v>
      </x:c>
      <x:c r="F181" s="7" t="str">
        <x:v>https://www.primetals.com/</x:v>
      </x:c>
      <x:c r="G181" t="str">
        <x:v>Sutton</x:v>
      </x:c>
      <x:c r="H181" s="8" t="str">
        <x:v>Snov</x:v>
      </x:c>
      <x:c r="I181" s="8" t="str">
        <x:v>Not Started</x:v>
      </x:c>
      <x:c r="J181" s="8" t="str">
        <x:v>ENTERPRISE_MANUFACTURING</x:v>
      </x:c>
      <x:c r="K181" s="7" t="str">
        <x:f>IFERROR(VLOOKUP(J181,'TARGETING_RULES'!$A$6:$D$55,4,FALSE),"")</x:f>
        <x:v>Plant Manager &gt; Training Director &gt; L&amp;D Director &gt; Workforce Development Director &gt; Operations Director &gt; HR Director &gt; VP of HR</x:v>
      </x:c>
    </x:row>
    <x:row r="182" ht="42" customHeight="1">
      <x:c r="A182" t="str">
        <x:v>QPS</x:v>
      </x:c>
      <x:c r="B182" t="str">
        <x:v>Professional Training &amp; Quality Management</x:v>
      </x:c>
      <x:c r="C182" s="12" t="str">
        <x:v>Not visible</x:v>
      </x:c>
      <x:c r="D182" s="13" t="str">
        <x:v>51-200</x:v>
      </x:c>
      <x:c r="E182" s="7" t="str">
        <x:v>https://www.linkedin.com/company/quality-productivity-solutions-inc</x:v>
      </x:c>
      <x:c r="F182" s="7" t="str">
        <x:v>https://qpsinc.com/</x:v>
      </x:c>
      <x:c r="G182" t="str">
        <x:v>Statewide</x:v>
      </x:c>
      <x:c r="H182" s="8" t="str">
        <x:v>Snov</x:v>
      </x:c>
      <x:c r="I182" s="8" t="str">
        <x:v>Not Started</x:v>
      </x:c>
      <x:c r="J182" s="8" t="str">
        <x:v>MID_TECH_PROFESSIONAL</x:v>
      </x:c>
      <x:c r="K182" s="7" t="str">
        <x:f>IFERROR(VLOOKUP(J182,'TARGETING_RULES'!$A$6:$D$55,4,FALSE),"")</x:f>
        <x:v>People Operations Director &gt; HR Director &gt; L&amp;D Manager &gt; Talent Development Manager &gt; Operations Director &gt; Managing Partner &gt; CEO</x:v>
      </x:c>
    </x:row>
    <x:row r="183" ht="42" customHeight="1">
      <x:c r="A183" t="str">
        <x:v>Quanterix</x:v>
      </x:c>
      <x:c r="B183" t="str">
        <x:v>Biotechnology &amp; Diagnostics</x:v>
      </x:c>
      <x:c r="C183" s="12" t="n">
        <x:v>509</x:v>
      </x:c>
      <x:c r="D183" s="13" t="str">
        <x:v>201-500</x:v>
      </x:c>
      <x:c r="E183" s="7" t="str">
        <x:v>https://www.linkedin.com/company/quanterix</x:v>
      </x:c>
      <x:c r="F183" s="7" t="str">
        <x:v>https://www.quanterix.com/</x:v>
      </x:c>
      <x:c r="G183" t="str">
        <x:v>Billerica</x:v>
      </x:c>
      <x:c r="H183" s="8" t="str">
        <x:v>Snov</x:v>
      </x:c>
      <x:c r="I183" s="8" t="str">
        <x:v>Not Started</x:v>
      </x:c>
      <x:c r="J183" s="8" t="str">
        <x:v>LARGE_TECH_PROFESSIONAL</x:v>
      </x:c>
      <x:c r="K183" s="7" t="str">
        <x:f>IFERROR(VLOOKUP(J183,'TARGETING_RULES'!$A$6:$D$55,4,FALSE),"")</x:f>
        <x:v>L&amp;D Director &gt; People Operations Director &gt; Talent Development Director &gt; Organizational Development Director &gt; HR Director &gt; VP of People</x:v>
      </x:c>
    </x:row>
    <x:row r="184" ht="42" customHeight="1">
      <x:c r="A184" t="str">
        <x:v>R. H. White Companies</x:v>
      </x:c>
      <x:c r="B184" t="str">
        <x:v>Construction &amp; Utility Services</x:v>
      </x:c>
      <x:c r="C184" s="12" t="n">
        <x:v>237</x:v>
      </x:c>
      <x:c r="D184" s="13" t="str">
        <x:v>501-1,000</x:v>
      </x:c>
      <x:c r="E184" s="7" t="str">
        <x:v>https://www.linkedin.com/company/r-h-white-construction</x:v>
      </x:c>
      <x:c r="F184" s="7" t="str">
        <x:v>https://www.rhwhite.com/</x:v>
      </x:c>
      <x:c r="G184" t="str">
        <x:v>Auburn</x:v>
      </x:c>
      <x:c r="H184" s="8" t="str">
        <x:v>Snov</x:v>
      </x:c>
      <x:c r="I184" s="8" t="str">
        <x:v>Not Started</x:v>
      </x:c>
      <x:c r="J184" s="8" t="str">
        <x:v>LARGE_CONSTRUCTION_TRADES</x:v>
      </x:c>
      <x:c r="K184" s="7" t="str">
        <x:f>IFERROR(VLOOKUP(J184,'TARGETING_RULES'!$A$6:$D$55,4,FALSE),"")</x:f>
        <x:v>Operations Director &gt; Safety Director &gt; Training Director &gt; L&amp;D Director &gt; HR Director &gt; VP of Operations</x:v>
      </x:c>
    </x:row>
    <x:row r="185" ht="42" customHeight="1">
      <x:c r="A185" t="str">
        <x:v>RCAP Solutions</x:v>
      </x:c>
      <x:c r="B185" t="str">
        <x:v>Nonprofit &amp; Community Development</x:v>
      </x:c>
      <x:c r="C185" s="12" t="n">
        <x:v>130</x:v>
      </x:c>
      <x:c r="D185" s="13" t="str">
        <x:v>51-200</x:v>
      </x:c>
      <x:c r="E185" s="7" t="str">
        <x:v>https://www.linkedin.com/company/rcap-solutions-inc.</x:v>
      </x:c>
      <x:c r="F185" s="7" t="str">
        <x:v>https://www.rcapsolutions.org/</x:v>
      </x:c>
      <x:c r="G185" t="str">
        <x:v>Worcester</x:v>
      </x:c>
      <x:c r="H185" s="8" t="str">
        <x:v>Snov</x:v>
      </x:c>
      <x:c r="I185" s="8" t="str">
        <x:v>Not Started</x:v>
      </x:c>
      <x:c r="J185" s="8" t="str">
        <x:v>MID_NONPROFIT_SOCIAL</x:v>
      </x:c>
      <x:c r="K185" s="7" t="str">
        <x:f>IFERROR(VLOOKUP(J185,'TARGETING_RULES'!$A$6:$D$55,4,FALSE),"")</x:f>
        <x:v>Executive Director &gt; Workforce Development Director &gt; Training Director &gt; L&amp;D Director &gt; Operations Director &gt; HR Director</x:v>
      </x:c>
    </x:row>
    <x:row r="186" ht="42" customHeight="1">
      <x:c r="A186" t="str">
        <x:v>Reading Cooperative Bank</x:v>
      </x:c>
      <x:c r="B186" t="str">
        <x:v>Banking</x:v>
      </x:c>
      <x:c r="C186" s="12" t="n">
        <x:v>128</x:v>
      </x:c>
      <x:c r="D186" s="13" t="str">
        <x:v>51-200</x:v>
      </x:c>
      <x:c r="E186" s="7" t="str">
        <x:v>https://www.linkedin.com/company/reading-co-operative-bank</x:v>
      </x:c>
      <x:c r="F186" s="7" t="str">
        <x:v>https://www.readingcoop.com/</x:v>
      </x:c>
      <x:c r="G186" t="str">
        <x:v>Reading</x:v>
      </x:c>
      <x:c r="H186" s="8" t="str">
        <x:v>Snov</x:v>
      </x:c>
      <x:c r="I186" s="8" t="str">
        <x:v>Not Started</x:v>
      </x:c>
      <x:c r="J186" s="8" t="str">
        <x:v>MID_FINANCIAL_SERVICES</x:v>
      </x:c>
      <x:c r="K186" s="7" t="str">
        <x:f>IFERROR(VLOOKUP(J186,'TARGETING_RULES'!$A$6:$D$55,4,FALSE),"")</x:f>
        <x:v>HR Director &gt; L&amp;D Manager &gt; Training Manager &gt; COO &gt; Operations Director &gt; President &gt; CEO</x:v>
      </x:c>
    </x:row>
    <x:row r="187" ht="42" customHeight="1">
      <x:c r="A187" t="str">
        <x:v>Rebel Restaurants</x:v>
      </x:c>
      <x:c r="B187" t="str">
        <x:v>Restaurants</x:v>
      </x:c>
      <x:c r="C187" s="12" t="str">
        <x:v>Not visible</x:v>
      </x:c>
      <x:c r="D187" s="13" t="str">
        <x:v>1,001-5,000</x:v>
      </x:c>
      <x:c r="E187" s="7" t="str">
        <x:v>https://www.linkedin.com/company/rebel-restaurants</x:v>
      </x:c>
      <x:c r="F187" s="7" t="str">
        <x:v>https://www.rebelrestaurants.com/</x:v>
      </x:c>
      <x:c r="G187" t="str">
        <x:v>Boston</x:v>
      </x:c>
      <x:c r="H187" s="8" t="str">
        <x:v>Snov</x:v>
      </x:c>
      <x:c r="I187" s="8" t="str">
        <x:v>Not Started</x:v>
      </x:c>
      <x:c r="J187" s="8" t="str">
        <x:v>ENTERPRISE_HOSPITALITY_RETAIL</x:v>
      </x:c>
      <x:c r="K187" s="7" t="str">
        <x:f>IFERROR(VLOOKUP(J187,'TARGETING_RULES'!$A$6:$D$55,4,FALSE),"")</x:f>
        <x:v>L&amp;D Director &gt; Training Director &gt; Regional Operations Director &gt; HR Director &gt; VP of Operations &gt; VP of HR</x:v>
      </x:c>
    </x:row>
    <x:row r="188" ht="42" customHeight="1">
      <x:c r="A188" t="str">
        <x:v>Richards Design Inc.</x:v>
      </x:c>
      <x:c r="B188" t="str">
        <x:v>Window &amp; Glass Manufacturing</x:v>
      </x:c>
      <x:c r="C188" s="12" t="str">
        <x:v>Not visible</x:v>
      </x:c>
      <x:c r="D188" s="13" t="str">
        <x:v>Not visible</x:v>
      </x:c>
      <x:c r="E188" s="7" t="str">
        <x:v>Not verified</x:v>
      </x:c>
      <x:c r="F188" s="7" t="str">
        <x:v>http://www.richardsdesign.net/</x:v>
      </x:c>
      <x:c r="G188" t="str">
        <x:v>East Falmouth</x:v>
      </x:c>
      <x:c r="H188" s="8" t="str">
        <x:v>Snov</x:v>
      </x:c>
      <x:c r="I188" s="8" t="str">
        <x:v>Not Started</x:v>
      </x:c>
      <x:c r="J188" s="8" t="str">
        <x:v>UNKNOWN_MANUFACTURING</x:v>
      </x:c>
      <x:c r="K188" s="7" t="str">
        <x:f>IFERROR(VLOOKUP(J188,'TARGETING_RULES'!$A$6:$D$55,4,FALSE),"")</x:f>
        <x:v>Owner &gt; President &gt; CEO &gt; Plant Manager &gt; Operations Director &gt; Training Manager &gt; HR Director</x:v>
      </x:c>
    </x:row>
    <x:row r="189" ht="42" customHeight="1">
      <x:c r="A189" t="str">
        <x:v>Romanow Container</x:v>
      </x:c>
      <x:c r="B189" t="str">
        <x:v>Packaging Manufacturing</x:v>
      </x:c>
      <x:c r="C189" s="12" t="n">
        <x:v>79</x:v>
      </x:c>
      <x:c r="D189" s="13" t="str">
        <x:v>51-200</x:v>
      </x:c>
      <x:c r="E189" s="7" t="str">
        <x:v>https://www.linkedin.com/company/romanow-container</x:v>
      </x:c>
      <x:c r="F189" s="7" t="str">
        <x:v>https://www.romanowcontainer.com/</x:v>
      </x:c>
      <x:c r="G189" t="str">
        <x:v>Westwood</x:v>
      </x:c>
      <x:c r="H189" s="8" t="str">
        <x:v>Snov</x:v>
      </x:c>
      <x:c r="I189" s="8" t="str">
        <x:v>Not Started</x:v>
      </x:c>
      <x:c r="J189" s="8" t="str">
        <x:v>MID_MANUFACTURING</x:v>
      </x:c>
      <x:c r="K189" s="7" t="str">
        <x:f>IFERROR(VLOOKUP(J189,'TARGETING_RULES'!$A$6:$D$55,4,FALSE),"")</x:f>
        <x:v>Plant Manager &gt; Operations Director &gt; HR Director &gt; Training Manager &gt; Safety Manager &gt; President &gt; CEO</x:v>
      </x:c>
    </x:row>
    <x:row r="190" ht="42" customHeight="1">
      <x:c r="A190" t="str">
        <x:v>Ruland Manufacturing</x:v>
      </x:c>
      <x:c r="B190" t="str">
        <x:v>Industrial Machinery Manufacturing</x:v>
      </x:c>
      <x:c r="C190" s="12" t="str">
        <x:v>Not visible</x:v>
      </x:c>
      <x:c r="D190" s="13" t="str">
        <x:v>51-200</x:v>
      </x:c>
      <x:c r="E190" s="7" t="str">
        <x:v>https://www.linkedin.com/company/ruland-manufacturing-co--inc-</x:v>
      </x:c>
      <x:c r="F190" s="7" t="str">
        <x:v>https://www.ruland.com/</x:v>
      </x:c>
      <x:c r="G190" t="str">
        <x:v>Marlborough</x:v>
      </x:c>
      <x:c r="H190" s="8" t="str">
        <x:v>Snov</x:v>
      </x:c>
      <x:c r="I190" s="8" t="str">
        <x:v>Not Started</x:v>
      </x:c>
      <x:c r="J190" s="8" t="str">
        <x:v>MID_MANUFACTURING</x:v>
      </x:c>
      <x:c r="K190" s="7" t="str">
        <x:f>IFERROR(VLOOKUP(J190,'TARGETING_RULES'!$A$6:$D$55,4,FALSE),"")</x:f>
        <x:v>Plant Manager &gt; Operations Director &gt; HR Director &gt; Training Manager &gt; Safety Manager &gt; President &gt; CEO</x:v>
      </x:c>
    </x:row>
    <x:row r="191" ht="42" customHeight="1">
      <x:c r="A191" t="str">
        <x:v>Rypos</x:v>
      </x:c>
      <x:c r="B191" t="str">
        <x:v>Clean Technology &amp; Emissions Control</x:v>
      </x:c>
      <x:c r="C191" s="12" t="str">
        <x:v>Not visible</x:v>
      </x:c>
      <x:c r="D191" s="13" t="str">
        <x:v>11-50</x:v>
      </x:c>
      <x:c r="E191" s="7" t="str">
        <x:v>https://www.linkedin.com/company/rypos</x:v>
      </x:c>
      <x:c r="F191" s="7" t="str">
        <x:v>https://www.rypos.com/</x:v>
      </x:c>
      <x:c r="G191" t="str">
        <x:v>Franklin</x:v>
      </x:c>
      <x:c r="H191" s="8" t="str">
        <x:v>Snov</x:v>
      </x:c>
      <x:c r="I191" s="8" t="str">
        <x:v>Not Started</x:v>
      </x:c>
      <x:c r="J191" s="8" t="str">
        <x:v>SMALL_MANUFACTURING</x:v>
      </x:c>
      <x:c r="K191" s="7" t="str">
        <x:f>IFERROR(VLOOKUP(J191,'TARGETING_RULES'!$A$6:$D$55,4,FALSE),"")</x:f>
        <x:v>Owner &gt; Founder &gt; Co-Founder &gt; President &gt; CEO &gt; Plant Manager &gt; Operations Manager &gt; Training Manager &gt; HR Manager</x:v>
      </x:c>
    </x:row>
    <x:row r="192" ht="42" customHeight="1">
      <x:c r="A192" t="str">
        <x:v>S&amp;P Consultants, Inc.</x:v>
      </x:c>
      <x:c r="B192" t="str">
        <x:v>Healthcare IT Consulting</x:v>
      </x:c>
      <x:c r="C192" s="12" t="str">
        <x:v>Not visible</x:v>
      </x:c>
      <x:c r="D192" s="13" t="str">
        <x:v>51-200</x:v>
      </x:c>
      <x:c r="E192" s="7" t="str">
        <x:v>https://www.linkedin.com/company/s-p-consultants-inc</x:v>
      </x:c>
      <x:c r="F192" s="7" t="str">
        <x:v>https://www.spfed.com/</x:v>
      </x:c>
      <x:c r="G192" t="str">
        <x:v>Braintree</x:v>
      </x:c>
      <x:c r="H192" s="8" t="str">
        <x:v>Snov</x:v>
      </x:c>
      <x:c r="I192" s="8" t="str">
        <x:v>Not Started</x:v>
      </x:c>
      <x:c r="J192" s="8" t="str">
        <x:v>MID_TECH_PROFESSIONAL</x:v>
      </x:c>
      <x:c r="K192" s="7" t="str">
        <x:f>IFERROR(VLOOKUP(J192,'TARGETING_RULES'!$A$6:$D$55,4,FALSE),"")</x:f>
        <x:v>People Operations Director &gt; HR Director &gt; L&amp;D Manager &gt; Talent Development Manager &gt; Operations Director &gt; Managing Partner &gt; CEO</x:v>
      </x:c>
    </x:row>
    <x:row r="193" ht="42" customHeight="1">
      <x:c r="A193" t="str">
        <x:v>Scully Signal Company</x:v>
      </x:c>
      <x:c r="B193" t="str">
        <x:v>Industrial Safety Equipment Manufacturing</x:v>
      </x:c>
      <x:c r="C193" s="12" t="str">
        <x:v>Not visible</x:v>
      </x:c>
      <x:c r="D193" s="13" t="str">
        <x:v>51-200</x:v>
      </x:c>
      <x:c r="E193" s="7" t="str">
        <x:v>https://www.linkedin.com/company/scullysignal</x:v>
      </x:c>
      <x:c r="F193" s="7" t="str">
        <x:v>https://scully.com/</x:v>
      </x:c>
      <x:c r="G193" t="str">
        <x:v>Wilmington</x:v>
      </x:c>
      <x:c r="H193" s="8" t="str">
        <x:v>Snov</x:v>
      </x:c>
      <x:c r="I193" s="8" t="str">
        <x:v>Not Started</x:v>
      </x:c>
      <x:c r="J193" s="8" t="str">
        <x:v>MID_MANUFACTURING</x:v>
      </x:c>
      <x:c r="K193" s="7" t="str">
        <x:f>IFERROR(VLOOKUP(J193,'TARGETING_RULES'!$A$6:$D$55,4,FALSE),"")</x:f>
        <x:v>Plant Manager &gt; Operations Director &gt; HR Director &gt; Training Manager &gt; Safety Manager &gt; President &gt; CEO</x:v>
      </x:c>
    </x:row>
    <x:row r="194" ht="42" customHeight="1">
      <x:c r="A194" t="str">
        <x:v>Self Help</x:v>
      </x:c>
      <x:c r="B194" t="str">
        <x:v>Social Services</x:v>
      </x:c>
      <x:c r="C194" s="12" t="n">
        <x:v>64</x:v>
      </x:c>
      <x:c r="D194" s="13" t="str">
        <x:v>201-500</x:v>
      </x:c>
      <x:c r="E194" s="7" t="str">
        <x:v>https://www.linkedin.com/company/self-help-inc.</x:v>
      </x:c>
      <x:c r="F194" s="7" t="str">
        <x:v>https://www.selfhelpinc.org/</x:v>
      </x:c>
      <x:c r="G194" t="str">
        <x:v>Brockton</x:v>
      </x:c>
      <x:c r="H194" s="8" t="str">
        <x:v>Snov</x:v>
      </x:c>
      <x:c r="I194" s="8" t="str">
        <x:v>Not Started</x:v>
      </x:c>
      <x:c r="J194" s="8" t="str">
        <x:v>LARGE_NONPROFIT_SOCIAL</x:v>
      </x:c>
      <x:c r="K194" s="7" t="str">
        <x:f>IFERROR(VLOOKUP(J194,'TARGETING_RULES'!$A$6:$D$55,4,FALSE),"")</x:f>
        <x:v>Workforce Development Director &gt; L&amp;D Director &gt; Training Director &gt; Organizational Development Director &gt; HR Director &gt; COO &gt; Executive Director</x:v>
      </x:c>
    </x:row>
    <x:row r="195" ht="42" customHeight="1">
      <x:c r="A195" t="str">
        <x:v>Shawmut Communications Group</x:v>
      </x:c>
      <x:c r="B195" t="str">
        <x:v>Printing &amp; Marketing Services</x:v>
      </x:c>
      <x:c r="C195" s="12" t="n">
        <x:v>59</x:v>
      </x:c>
      <x:c r="D195" s="13" t="str">
        <x:v>51-200</x:v>
      </x:c>
      <x:c r="E195" s="7" t="str">
        <x:v>https://www.linkedin.com/company/shawmut-communications-group</x:v>
      </x:c>
      <x:c r="F195" s="7" t="str">
        <x:v>https://www.shawmutdelivers.com/</x:v>
      </x:c>
      <x:c r="G195" t="str">
        <x:v>Peabody</x:v>
      </x:c>
      <x:c r="H195" s="8" t="str">
        <x:v>Snov</x:v>
      </x:c>
      <x:c r="I195" s="8" t="str">
        <x:v>Not Started</x:v>
      </x:c>
      <x:c r="J195" s="8" t="str">
        <x:v>MID_MANUFACTURING</x:v>
      </x:c>
      <x:c r="K195" s="7" t="str">
        <x:f>IFERROR(VLOOKUP(J195,'TARGETING_RULES'!$A$6:$D$55,4,FALSE),"")</x:f>
        <x:v>Plant Manager &gt; Operations Director &gt; HR Director &gt; Training Manager &gt; Safety Manager &gt; President &gt; CEO</x:v>
      </x:c>
    </x:row>
    <x:row r="196" ht="42" customHeight="1">
      <x:c r="A196" t="str">
        <x:v>Shepley Wood Products</x:v>
      </x:c>
      <x:c r="B196" t="str">
        <x:v>Building Materials Retail</x:v>
      </x:c>
      <x:c r="C196" s="12" t="n">
        <x:v>76</x:v>
      </x:c>
      <x:c r="D196" s="13" t="str">
        <x:v>1</x:v>
      </x:c>
      <x:c r="E196" s="7" t="str">
        <x:v>https://www.linkedin.com/company/shepley-wood-products</x:v>
      </x:c>
      <x:c r="F196" s="7" t="str">
        <x:v>https://www.shepleywood.com/</x:v>
      </x:c>
      <x:c r="G196" t="str">
        <x:v>Hyannis</x:v>
      </x:c>
      <x:c r="H196" s="8" t="str">
        <x:v>Snov</x:v>
      </x:c>
      <x:c r="I196" s="8" t="str">
        <x:v>Not Started</x:v>
      </x:c>
      <x:c r="J196" s="8" t="str">
        <x:v>MID_CONSTRUCTION_TRADES</x:v>
      </x:c>
      <x:c r="K196" s="7" t="str">
        <x:f>IFERROR(VLOOKUP(J196,'TARGETING_RULES'!$A$6:$D$55,4,FALSE),"")</x:f>
        <x:v>Operations Director &gt; Safety Director &gt; Safety Manager &gt; Training Manager &gt; HR Director &gt; HR Manager &gt; President &gt; CEO</x:v>
      </x:c>
    </x:row>
    <x:row r="197" ht="42" customHeight="1">
      <x:c r="A197" t="str">
        <x:v>Sika Corporation</x:v>
      </x:c>
      <x:c r="B197" t="str">
        <x:v>Chemical Manufacturing</x:v>
      </x:c>
      <x:c r="C197" s="12" t="n">
        <x:v>19853</x:v>
      </x:c>
      <x:c r="D197" s="13" t="str">
        <x:v>10,001+</x:v>
      </x:c>
      <x:c r="E197" s="7" t="str">
        <x:v>https://www.linkedin.com/company/sika</x:v>
      </x:c>
      <x:c r="F197" s="7" t="str">
        <x:v>https://usa.sika.com/</x:v>
      </x:c>
      <x:c r="G197" t="str">
        <x:v>Canton</x:v>
      </x:c>
      <x:c r="H197" s="8" t="str">
        <x:v>Snov</x:v>
      </x:c>
      <x:c r="I197" s="8" t="str">
        <x:v>Not Started</x:v>
      </x:c>
      <x:c r="J197" s="8" t="str">
        <x:v>ENTERPRISE_MANUFACTURING</x:v>
      </x:c>
      <x:c r="K197" s="7" t="str">
        <x:f>IFERROR(VLOOKUP(J197,'TARGETING_RULES'!$A$6:$D$55,4,FALSE),"")</x:f>
        <x:v>Plant Manager &gt; Training Director &gt; L&amp;D Director &gt; Workforce Development Director &gt; Operations Director &gt; HR Director &gt; VP of HR</x:v>
      </x:c>
    </x:row>
    <x:row r="198" ht="42" customHeight="1">
      <x:c r="A198" t="str">
        <x:v>Sloan</x:v>
      </x:c>
      <x:c r="B198" t="str">
        <x:v>Plumbing Equipment Manufacturing</x:v>
      </x:c>
      <x:c r="C198" s="12" t="n">
        <x:v>633</x:v>
      </x:c>
      <x:c r="D198" s="13" t="str">
        <x:v>1,001-5,000</x:v>
      </x:c>
      <x:c r="E198" s="7" t="str">
        <x:v>https://www.linkedin.com/company/sloan-valve-company</x:v>
      </x:c>
      <x:c r="F198" s="7" t="str">
        <x:v>https://www.sloan.com/</x:v>
      </x:c>
      <x:c r="G198" t="str">
        <x:v>Andover</x:v>
      </x:c>
      <x:c r="H198" s="8" t="str">
        <x:v>Snov</x:v>
      </x:c>
      <x:c r="I198" s="8" t="str">
        <x:v>Not Started</x:v>
      </x:c>
      <x:c r="J198" s="8" t="str">
        <x:v>ENTERPRISE_MANUFACTURING</x:v>
      </x:c>
      <x:c r="K198" s="7" t="str">
        <x:f>IFERROR(VLOOKUP(J198,'TARGETING_RULES'!$A$6:$D$55,4,FALSE),"")</x:f>
        <x:v>Plant Manager &gt; Training Director &gt; L&amp;D Director &gt; Workforce Development Director &gt; Operations Director &gt; HR Director &gt; VP of HR</x:v>
      </x:c>
    </x:row>
    <x:row r="199" ht="42" customHeight="1">
      <x:c r="A199" t="str">
        <x:v>SMC</x:v>
      </x:c>
      <x:c r="B199" t="str">
        <x:v>Medical Device Contract Manufacturing</x:v>
      </x:c>
      <x:c r="C199" s="12" t="n">
        <x:v>1800</x:v>
      </x:c>
      <x:c r="D199" s="13" t="str">
        <x:v>501-1,000</x:v>
      </x:c>
      <x:c r="E199" s="7" t="str">
        <x:v>https://www.linkedin.com/company/smc-ltd</x:v>
      </x:c>
      <x:c r="F199" s="7" t="str">
        <x:v>https://www.smcltd.com/</x:v>
      </x:c>
      <x:c r="G199" t="str">
        <x:v>Devens</x:v>
      </x:c>
      <x:c r="H199" s="8" t="str">
        <x:v>Snov</x:v>
      </x:c>
      <x:c r="I199" s="8" t="str">
        <x:v>Not Started</x:v>
      </x:c>
      <x:c r="J199" s="8" t="str">
        <x:v>ENTERPRISE_MANUFACTURING</x:v>
      </x:c>
      <x:c r="K199" s="7" t="str">
        <x:f>IFERROR(VLOOKUP(J199,'TARGETING_RULES'!$A$6:$D$55,4,FALSE),"")</x:f>
        <x:v>Plant Manager &gt; Training Director &gt; L&amp;D Director &gt; Workforce Development Director &gt; Operations Director &gt; HR Director &gt; VP of HR</x:v>
      </x:c>
    </x:row>
    <x:row r="200" ht="42" customHeight="1">
      <x:c r="A200" t="str">
        <x:v>Spectrum Lighting</x:v>
      </x:c>
      <x:c r="B200" t="str">
        <x:v>Lighting Manufacturing</x:v>
      </x:c>
      <x:c r="C200" s="12" t="str">
        <x:v>Not visible</x:v>
      </x:c>
      <x:c r="D200" s="13" t="str">
        <x:v>201-500</x:v>
      </x:c>
      <x:c r="E200" s="7" t="str">
        <x:v>https://www.linkedin.com/company/spectrum-lighting-inc.</x:v>
      </x:c>
      <x:c r="F200" s="7" t="str">
        <x:v>https://www.speclight.com/</x:v>
      </x:c>
      <x:c r="G200" t="str">
        <x:v>Fall River</x:v>
      </x:c>
      <x:c r="H200" s="8" t="str">
        <x:v>Snov</x:v>
      </x:c>
      <x:c r="I200" s="8" t="str">
        <x:v>Not Started</x:v>
      </x:c>
      <x:c r="J200" s="8" t="str">
        <x:v>LARGE_MANUFACTURING</x:v>
      </x:c>
      <x:c r="K200" s="7" t="str">
        <x:f>IFERROR(VLOOKUP(J200,'TARGETING_RULES'!$A$6:$D$55,4,FALSE),"")</x:f>
        <x:v>Plant Manager &gt; Operations Director &gt; Training Director &gt; L&amp;D Director &gt; HR Director &gt; Safety Director &gt; VP of Operations</x:v>
      </x:c>
    </x:row>
    <x:row r="201" ht="42" customHeight="1">
      <x:c r="A201" t="str">
        <x:v>Standard Modern Company</x:v>
      </x:c>
      <x:c r="B201" t="str">
        <x:v>Printing Services</x:v>
      </x:c>
      <x:c r="C201" s="12" t="str">
        <x:v>Not visible</x:v>
      </x:c>
      <x:c r="D201" s="13" t="str">
        <x:v>51-200</x:v>
      </x:c>
      <x:c r="E201" s="7" t="str">
        <x:v>https://www.linkedin.com/company/standard-modern-company</x:v>
      </x:c>
      <x:c r="F201" s="7" t="str">
        <x:v>https://www.standardmodern.com/</x:v>
      </x:c>
      <x:c r="G201" t="str">
        <x:v>New Bedford</x:v>
      </x:c>
      <x:c r="H201" s="8" t="str">
        <x:v>Snov</x:v>
      </x:c>
      <x:c r="I201" s="8" t="str">
        <x:v>Not Started</x:v>
      </x:c>
      <x:c r="J201" s="8" t="str">
        <x:v>MID_MANUFACTURING</x:v>
      </x:c>
      <x:c r="K201" s="7" t="str">
        <x:f>IFERROR(VLOOKUP(J201,'TARGETING_RULES'!$A$6:$D$55,4,FALSE),"")</x:f>
        <x:v>Plant Manager &gt; Operations Director &gt; HR Director &gt; Training Manager &gt; Safety Manager &gt; President &gt; CEO</x:v>
      </x:c>
    </x:row>
    <x:row r="202" ht="42" customHeight="1">
      <x:c r="A202" t="str">
        <x:v>Stewart Painting</x:v>
      </x:c>
      <x:c r="B202" t="str">
        <x:v>Painting Services</x:v>
      </x:c>
      <x:c r="C202" s="12" t="n">
        <x:v>23</x:v>
      </x:c>
      <x:c r="D202" s="13" t="str">
        <x:v>51-200</x:v>
      </x:c>
      <x:c r="E202" s="7" t="str">
        <x:v>https://www.linkedin.com/company/stewart-painting-inc</x:v>
      </x:c>
      <x:c r="F202" s="7" t="str">
        <x:v>https://stewartpaint.com/</x:v>
      </x:c>
      <x:c r="G202" t="str">
        <x:v>Hyannis</x:v>
      </x:c>
      <x:c r="H202" s="8" t="str">
        <x:v>Snov</x:v>
      </x:c>
      <x:c r="I202" s="8" t="str">
        <x:v>Not Started</x:v>
      </x:c>
      <x:c r="J202" s="8" t="str">
        <x:v>MID_CONSTRUCTION_TRADES</x:v>
      </x:c>
      <x:c r="K202" s="7" t="str">
        <x:f>IFERROR(VLOOKUP(J202,'TARGETING_RULES'!$A$6:$D$55,4,FALSE),"")</x:f>
        <x:v>Operations Director &gt; Safety Director &gt; Safety Manager &gt; Training Manager &gt; HR Director &gt; HR Manager &gt; President &gt; CEO</x:v>
      </x:c>
    </x:row>
    <x:row r="203" ht="42" customHeight="1">
      <x:c r="A203" t="str">
        <x:v>Studio Enee</x:v>
      </x:c>
      <x:c r="B203" t="str">
        <x:v>Architecture &amp; Planning</x:v>
      </x:c>
      <x:c r="C203" s="12" t="str">
        <x:v>Not visible</x:v>
      </x:c>
      <x:c r="D203" s="13" t="str">
        <x:v>11-50</x:v>
      </x:c>
      <x:c r="E203" s="7" t="str">
        <x:v>https://www.linkedin.com/company/studioen%C3%A9earchitects</x:v>
      </x:c>
      <x:c r="F203" s="7" t="str">
        <x:v>https://www.studioenee.com/</x:v>
      </x:c>
      <x:c r="G203" t="str">
        <x:v>Boston</x:v>
      </x:c>
      <x:c r="H203" s="8" t="str">
        <x:v>Snov</x:v>
      </x:c>
      <x:c r="I203" s="8" t="str">
        <x:v>Not Started</x:v>
      </x:c>
      <x:c r="J203" s="8" t="str">
        <x:v>SMALL_TECH_PROFESSIONAL</x:v>
      </x:c>
      <x:c r="K203" s="7" t="str">
        <x:f>IFERROR(VLOOKUP(J203,'TARGETING_RULES'!$A$6:$D$55,4,FALSE),"")</x:f>
        <x:v>Owner &gt; Founder &gt; Co-Founder &gt; President &gt; CEO &gt; Managing Partner &gt; COO &gt; People Operations Manager &gt; HR Manager</x:v>
      </x:c>
    </x:row>
    <x:row r="204" ht="42" customHeight="1">
      <x:c r="A204" t="str">
        <x:v>Supreme Food Inc</x:v>
      </x:c>
      <x:c r="B204" t="str">
        <x:v>Grocery Retail</x:v>
      </x:c>
      <x:c r="C204" s="12" t="str">
        <x:v>Not visible</x:v>
      </x:c>
      <x:c r="D204" s="13" t="str">
        <x:v>Not visible</x:v>
      </x:c>
      <x:c r="E204" s="7" t="str">
        <x:v>Not verified</x:v>
      </x:c>
      <x:c r="F204" s="7" t="str">
        <x:v>https://www.afbasket.com/</x:v>
      </x:c>
      <x:c r="G204" t="str">
        <x:v>Lynn</x:v>
      </x:c>
      <x:c r="H204" s="8" t="str">
        <x:v>Snov</x:v>
      </x:c>
      <x:c r="I204" s="8" t="str">
        <x:v>Not Started</x:v>
      </x:c>
      <x:c r="J204" s="8" t="str">
        <x:v>UNKNOWN_HOSPITALITY_RETAIL</x:v>
      </x:c>
      <x:c r="K204" s="7" t="str">
        <x:f>IFERROR(VLOOKUP(J204,'TARGETING_RULES'!$A$6:$D$55,4,FALSE),"")</x:f>
        <x:v>Owner &gt; President &gt; CEO &gt; General Manager &gt; Operations Director &gt; Training Manager &gt; HR Director</x:v>
      </x:c>
    </x:row>
    <x:row r="205" ht="42" customHeight="1">
      <x:c r="A205" t="str">
        <x:v>Swissturn USA</x:v>
      </x:c>
      <x:c r="B205" t="str">
        <x:v>Precision Manufacturing</x:v>
      </x:c>
      <x:c r="C205" s="12" t="n">
        <x:v>25</x:v>
      </x:c>
      <x:c r="D205" s="13" t="str">
        <x:v>51-200</x:v>
      </x:c>
      <x:c r="E205" s="7" t="str">
        <x:v>https://www.linkedin.com/company/swissturn-usa-inc-</x:v>
      </x:c>
      <x:c r="F205" s="7" t="str">
        <x:v>https://www.swissturn.com/</x:v>
      </x:c>
      <x:c r="G205" t="str">
        <x:v>Oxford</x:v>
      </x:c>
      <x:c r="H205" s="8" t="str">
        <x:v>Snov</x:v>
      </x:c>
      <x:c r="I205" s="8" t="str">
        <x:v>Not Started</x:v>
      </x:c>
      <x:c r="J205" s="8" t="str">
        <x:v>MID_MANUFACTURING</x:v>
      </x:c>
      <x:c r="K205" s="7" t="str">
        <x:f>IFERROR(VLOOKUP(J205,'TARGETING_RULES'!$A$6:$D$55,4,FALSE),"")</x:f>
        <x:v>Plant Manager &gt; Operations Director &gt; HR Director &gt; Training Manager &gt; Safety Manager &gt; President &gt; CEO</x:v>
      </x:c>
    </x:row>
    <x:row r="206" ht="42" customHeight="1">
      <x:c r="A206" t="str">
        <x:v>Temptronic Corporation</x:v>
      </x:c>
      <x:c r="B206" t="str">
        <x:v>Thermal Test Equipment Manufacturing</x:v>
      </x:c>
      <x:c r="C206" s="12" t="n">
        <x:v>56</x:v>
      </x:c>
      <x:c r="D206" s="13" t="str">
        <x:v>51-200</x:v>
      </x:c>
      <x:c r="E206" s="7" t="str">
        <x:v>https://www.linkedin.com/company/intest-thermal-solutions</x:v>
      </x:c>
      <x:c r="F206" s="7" t="str">
        <x:v>https://www.intestthermal.com/</x:v>
      </x:c>
      <x:c r="G206" t="str">
        <x:v>Mansfield</x:v>
      </x:c>
      <x:c r="H206" s="8" t="str">
        <x:v>Snov</x:v>
      </x:c>
      <x:c r="I206" s="8" t="str">
        <x:v>Not Started</x:v>
      </x:c>
      <x:c r="J206" s="8" t="str">
        <x:v>MID_MANUFACTURING</x:v>
      </x:c>
      <x:c r="K206" s="7" t="str">
        <x:f>IFERROR(VLOOKUP(J206,'TARGETING_RULES'!$A$6:$D$55,4,FALSE),"")</x:f>
        <x:v>Plant Manager &gt; Operations Director &gt; HR Director &gt; Training Manager &gt; Safety Manager &gt; President &gt; CEO</x:v>
      </x:c>
    </x:row>
    <x:row r="207" ht="42" customHeight="1">
      <x:c r="A207" t="str">
        <x:v>Terumo Cardiovascular Systems Corp</x:v>
      </x:c>
      <x:c r="B207" t="str">
        <x:v>Medical Device Manufacturing</x:v>
      </x:c>
      <x:c r="C207" s="12" t="n">
        <x:v>653</x:v>
      </x:c>
      <x:c r="D207" s="13" t="str">
        <x:v>10,001+</x:v>
      </x:c>
      <x:c r="E207" s="7" t="str">
        <x:v>https://www.linkedin.com/company/terumo-global</x:v>
      </x:c>
      <x:c r="F207" s="7" t="str">
        <x:v>https://www.terumo.com/</x:v>
      </x:c>
      <x:c r="G207" t="str">
        <x:v>Ashland</x:v>
      </x:c>
      <x:c r="H207" s="8" t="str">
        <x:v>Snov</x:v>
      </x:c>
      <x:c r="I207" s="8" t="str">
        <x:v>Not Started</x:v>
      </x:c>
      <x:c r="J207" s="8" t="str">
        <x:v>ENTERPRISE_MANUFACTURING</x:v>
      </x:c>
      <x:c r="K207" s="7" t="str">
        <x:f>IFERROR(VLOOKUP(J207,'TARGETING_RULES'!$A$6:$D$55,4,FALSE),"")</x:f>
        <x:v>Plant Manager &gt; Training Director &gt; L&amp;D Director &gt; Workforce Development Director &gt; Operations Director &gt; HR Director &gt; VP of HR</x:v>
      </x:c>
    </x:row>
    <x:row r="208" ht="42" customHeight="1">
      <x:c r="A208" t="str">
        <x:v>Textron Systems</x:v>
      </x:c>
      <x:c r="B208" t="str">
        <x:v>Defense &amp; Space Manufacturing</x:v>
      </x:c>
      <x:c r="C208" s="12" t="n">
        <x:v>2097</x:v>
      </x:c>
      <x:c r="D208" s="13" t="str">
        <x:v>1,001-5,000</x:v>
      </x:c>
      <x:c r="E208" s="7" t="str">
        <x:v>https://www.linkedin.com/company/textron-systems</x:v>
      </x:c>
      <x:c r="F208" s="7" t="str">
        <x:v>https://www.textronsystems.com/</x:v>
      </x:c>
      <x:c r="G208" t="str">
        <x:v>Wilmington</x:v>
      </x:c>
      <x:c r="H208" s="8" t="str">
        <x:v>Snov</x:v>
      </x:c>
      <x:c r="I208" s="8" t="str">
        <x:v>Not Started</x:v>
      </x:c>
      <x:c r="J208" s="8" t="str">
        <x:v>ENTERPRISE_MANUFACTURING</x:v>
      </x:c>
      <x:c r="K208" s="7" t="str">
        <x:f>IFERROR(VLOOKUP(J208,'TARGETING_RULES'!$A$6:$D$55,4,FALSE),"")</x:f>
        <x:v>Plant Manager &gt; Training Director &gt; L&amp;D Director &gt; Workforce Development Director &gt; Operations Director &gt; HR Director &gt; VP of HR</x:v>
      </x:c>
    </x:row>
    <x:row r="209" ht="42" customHeight="1">
      <x:c r="A209" t="str">
        <x:v>The Fenway Group</x:v>
      </x:c>
      <x:c r="B209" t="str">
        <x:v>Advertising &amp; Marketing Services</x:v>
      </x:c>
      <x:c r="C209" s="12" t="n">
        <x:v>14</x:v>
      </x:c>
      <x:c r="D209" s="13" t="str">
        <x:v>51-200</x:v>
      </x:c>
      <x:c r="E209" s="7" t="str">
        <x:v>https://www.linkedin.com/company/fenwaygroup</x:v>
      </x:c>
      <x:c r="F209" s="7" t="str">
        <x:v>http://www.fenway-group.com/</x:v>
      </x:c>
      <x:c r="G209" t="str">
        <x:v>Boston</x:v>
      </x:c>
      <x:c r="H209" s="8" t="str">
        <x:v>Snov</x:v>
      </x:c>
      <x:c r="I209" s="8" t="str">
        <x:v>Not Started</x:v>
      </x:c>
      <x:c r="J209" s="8" t="str">
        <x:v>MID_TECH_PROFESSIONAL</x:v>
      </x:c>
      <x:c r="K209" s="7" t="str">
        <x:f>IFERROR(VLOOKUP(J209,'TARGETING_RULES'!$A$6:$D$55,4,FALSE),"")</x:f>
        <x:v>People Operations Director &gt; HR Director &gt; L&amp;D Manager &gt; Talent Development Manager &gt; Operations Director &gt; Managing Partner &gt; CEO</x:v>
      </x:c>
    </x:row>
    <x:row r="210" ht="42" customHeight="1">
      <x:c r="A210" t="str">
        <x:v>The Haynes Group</x:v>
      </x:c>
      <x:c r="B210" t="str">
        <x:v>Construction</x:v>
      </x:c>
      <x:c r="C210" s="12" t="n">
        <x:v>80</x:v>
      </x:c>
      <x:c r="D210" s="13" t="str">
        <x:v>51-200</x:v>
      </x:c>
      <x:c r="E210" s="7" t="str">
        <x:v>https://www.linkedin.com/company/haynes-capital</x:v>
      </x:c>
      <x:c r="F210" s="7" t="str">
        <x:v>https://haynesgroupinc.com/</x:v>
      </x:c>
      <x:c r="G210" t="str">
        <x:v>West Bridgewater</x:v>
      </x:c>
      <x:c r="H210" s="8" t="str">
        <x:v>Snov</x:v>
      </x:c>
      <x:c r="I210" s="8" t="str">
        <x:v>Not Started</x:v>
      </x:c>
      <x:c r="J210" s="8" t="str">
        <x:v>MID_CONSTRUCTION_TRADES</x:v>
      </x:c>
      <x:c r="K210" s="7" t="str">
        <x:f>IFERROR(VLOOKUP(J210,'TARGETING_RULES'!$A$6:$D$55,4,FALSE),"")</x:f>
        <x:v>Operations Director &gt; Safety Director &gt; Safety Manager &gt; Training Manager &gt; HR Director &gt; HR Manager &gt; President &gt; CEO</x:v>
      </x:c>
    </x:row>
    <x:row r="211" ht="42" customHeight="1">
      <x:c r="A211" t="str">
        <x:v>TotalOffice Interiors</x:v>
      </x:c>
      <x:c r="B211" t="str">
        <x:v>Office Furniture &amp; Workplace Design</x:v>
      </x:c>
      <x:c r="C211" s="12" t="str">
        <x:v>Not visible</x:v>
      </x:c>
      <x:c r="D211" s="13" t="str">
        <x:v>11-50</x:v>
      </x:c>
      <x:c r="E211" s="7" t="str">
        <x:v>https://www.linkedin.com/company/total-office</x:v>
      </x:c>
      <x:c r="F211" s="7" t="str">
        <x:v>https://www.toi-inc.com/</x:v>
      </x:c>
      <x:c r="G211" t="str">
        <x:v>Boston</x:v>
      </x:c>
      <x:c r="H211" s="8" t="str">
        <x:v>Snov</x:v>
      </x:c>
      <x:c r="I211" s="8" t="str">
        <x:v>Not Started</x:v>
      </x:c>
      <x:c r="J211" s="8" t="str">
        <x:v>SMALL_REAL_ESTATE_FACILITIES</x:v>
      </x:c>
      <x:c r="K211" s="7" t="str">
        <x:f>IFERROR(VLOOKUP(J211,'TARGETING_RULES'!$A$6:$D$55,4,FALSE),"")</x:f>
        <x:v>Owner &gt; Founder &gt; Co-Founder &gt; President &gt; CEO &gt; Property Manager &gt; Facilities Manager &gt; Operations Manager &gt; HR Manager</x:v>
      </x:c>
    </x:row>
    <x:row r="212" ht="42" customHeight="1">
      <x:c r="A212" t="str">
        <x:v>Trelleborg Sealing Solutions US</x:v>
      </x:c>
      <x:c r="B212" t="str">
        <x:v>Rubber Products Manufacturing</x:v>
      </x:c>
      <x:c r="C212" s="12" t="n">
        <x:v>3939</x:v>
      </x:c>
      <x:c r="D212" s="13" t="str">
        <x:v>5,001-10,000</x:v>
      </x:c>
      <x:c r="E212" s="7" t="str">
        <x:v>https://www.linkedin.com/company/trelleborg-sealing-solutions</x:v>
      </x:c>
      <x:c r="F212" s="7" t="str">
        <x:v>https://www.trelleborg.com/en/seals</x:v>
      </x:c>
      <x:c r="G212" t="str">
        <x:v>Northborough</x:v>
      </x:c>
      <x:c r="H212" s="8" t="str">
        <x:v>Snov</x:v>
      </x:c>
      <x:c r="I212" s="8" t="str">
        <x:v>Not Started</x:v>
      </x:c>
      <x:c r="J212" s="8" t="str">
        <x:v>ENTERPRISE_MANUFACTURING</x:v>
      </x:c>
      <x:c r="K212" s="7" t="str">
        <x:f>IFERROR(VLOOKUP(J212,'TARGETING_RULES'!$A$6:$D$55,4,FALSE),"")</x:f>
        <x:v>Plant Manager &gt; Training Director &gt; L&amp;D Director &gt; Workforce Development Director &gt; Operations Director &gt; HR Director &gt; VP of HR</x:v>
      </x:c>
    </x:row>
    <x:row r="213" ht="42" customHeight="1">
      <x:c r="A213" t="str">
        <x:v>Ulta Home Improvements</x:v>
      </x:c>
      <x:c r="B213" t="str">
        <x:v>Home Improvement &amp; Construction</x:v>
      </x:c>
      <x:c r="C213" s="12" t="str">
        <x:v>Not visible</x:v>
      </x:c>
      <x:c r="D213" s="13" t="str">
        <x:v>Not visible</x:v>
      </x:c>
      <x:c r="E213" s="7" t="str">
        <x:v>Not verified</x:v>
      </x:c>
      <x:c r="F213" s="7" t="str">
        <x:v>https://ultahome.com/</x:v>
      </x:c>
      <x:c r="G213" t="str">
        <x:v>Ashland</x:v>
      </x:c>
      <x:c r="H213" s="8" t="str">
        <x:v>Snov</x:v>
      </x:c>
      <x:c r="I213" s="8" t="str">
        <x:v>Not Started</x:v>
      </x:c>
      <x:c r="J213" s="8" t="str">
        <x:v>UNKNOWN_CONSTRUCTION_TRADES</x:v>
      </x:c>
      <x:c r="K213" s="7" t="str">
        <x:f>IFERROR(VLOOKUP(J213,'TARGETING_RULES'!$A$6:$D$55,4,FALSE),"")</x:f>
        <x:v>Owner &gt; President &gt; CEO &gt; Operations Director &gt; Safety Manager &gt; Training Manager &gt; HR Director</x:v>
      </x:c>
    </x:row>
    <x:row r="214" ht="42" customHeight="1">
      <x:c r="A214" t="str">
        <x:v>UNICOM Engineering</x:v>
      </x:c>
      <x:c r="B214" t="str">
        <x:v>Computer Hardware Manufacturing</x:v>
      </x:c>
      <x:c r="C214" s="12" t="n">
        <x:v>346</x:v>
      </x:c>
      <x:c r="D214" s="13" t="str">
        <x:v>201-500</x:v>
      </x:c>
      <x:c r="E214" s="7" t="str">
        <x:v>https://www.linkedin.com/company/unicomengineering</x:v>
      </x:c>
      <x:c r="F214" s="7" t="str">
        <x:v>https://www.unicomengineering.com/</x:v>
      </x:c>
      <x:c r="G214" t="str">
        <x:v>Canton</x:v>
      </x:c>
      <x:c r="H214" s="8" t="str">
        <x:v>Snov</x:v>
      </x:c>
      <x:c r="I214" s="8" t="str">
        <x:v>Not Started</x:v>
      </x:c>
      <x:c r="J214" s="8" t="str">
        <x:v>LARGE_MANUFACTURING</x:v>
      </x:c>
      <x:c r="K214" s="7" t="str">
        <x:f>IFERROR(VLOOKUP(J214,'TARGETING_RULES'!$A$6:$D$55,4,FALSE),"")</x:f>
        <x:v>Plant Manager &gt; Operations Director &gt; Training Director &gt; L&amp;D Director &gt; HR Director &gt; Safety Director &gt; VP of Operations</x:v>
      </x:c>
    </x:row>
    <x:row r="215" ht="42" customHeight="1">
      <x:c r="A215" t="str">
        <x:v>Veranova</x:v>
      </x:c>
      <x:c r="B215" t="str">
        <x:v>Pharmaceutical Manufacturing</x:v>
      </x:c>
      <x:c r="C215" s="12" t="n">
        <x:v>589</x:v>
      </x:c>
      <x:c r="D215" s="13" t="str">
        <x:v>501-1,000</x:v>
      </x:c>
      <x:c r="E215" s="7" t="str">
        <x:v>https://www.linkedin.com/company/veranovalife</x:v>
      </x:c>
      <x:c r="F215" s="7" t="str">
        <x:v>https://www.veranova.com/</x:v>
      </x:c>
      <x:c r="G215" t="str">
        <x:v>Devens</x:v>
      </x:c>
      <x:c r="H215" s="8" t="str">
        <x:v>Snov</x:v>
      </x:c>
      <x:c r="I215" s="8" t="str">
        <x:v>Not Started</x:v>
      </x:c>
      <x:c r="J215" s="8" t="str">
        <x:v>LARGE_MANUFACTURING</x:v>
      </x:c>
      <x:c r="K215" s="7" t="str">
        <x:f>IFERROR(VLOOKUP(J215,'TARGETING_RULES'!$A$6:$D$55,4,FALSE),"")</x:f>
        <x:v>Plant Manager &gt; Operations Director &gt; Training Director &gt; L&amp;D Director &gt; HR Director &gt; Safety Director &gt; VP of Operations</x:v>
      </x:c>
    </x:row>
    <x:row r="216" ht="42" customHeight="1">
      <x:c r="A216" t="str">
        <x:v>Verc Enterprises, Inc.</x:v>
      </x:c>
      <x:c r="B216" t="str">
        <x:v>Convenience Retail &amp; Fuel</x:v>
      </x:c>
      <x:c r="C216" s="12" t="n">
        <x:v>27</x:v>
      </x:c>
      <x:c r="D216" s="13" t="str">
        <x:v>201-500</x:v>
      </x:c>
      <x:c r="E216" s="7" t="str">
        <x:v>https://www.linkedin.com/company/verc-enterprises-inc</x:v>
      </x:c>
      <x:c r="F216" s="7" t="str">
        <x:v>http://www.vercenterprises.com/</x:v>
      </x:c>
      <x:c r="G216" t="str">
        <x:v>Duxbury</x:v>
      </x:c>
      <x:c r="H216" s="8" t="str">
        <x:v>Snov</x:v>
      </x:c>
      <x:c r="I216" s="8" t="str">
        <x:v>Not Started</x:v>
      </x:c>
      <x:c r="J216" s="8" t="str">
        <x:v>LARGE_HOSPITALITY_RETAIL</x:v>
      </x:c>
      <x:c r="K216" s="7" t="str">
        <x:f>IFERROR(VLOOKUP(J216,'TARGETING_RULES'!$A$6:$D$55,4,FALSE),"")</x:f>
        <x:v>Training Director &gt; Operations Director &gt; Regional Operations Director &gt; HR Director &gt; General Manager &gt; VP of Operations</x:v>
      </x:c>
    </x:row>
    <x:row r="217" ht="42" customHeight="1">
      <x:c r="A217" t="str">
        <x:v>Vicor Corp</x:v>
      </x:c>
      <x:c r="B217" t="str">
        <x:v>Semiconductor Manufacturing</x:v>
      </x:c>
      <x:c r="C217" s="12" t="n">
        <x:v>1010</x:v>
      </x:c>
      <x:c r="D217" s="13" t="str">
        <x:v>1,001-5,000</x:v>
      </x:c>
      <x:c r="E217" s="7" t="str">
        <x:v>https://www.linkedin.com/company/vicor-corporation</x:v>
      </x:c>
      <x:c r="F217" s="7" t="str">
        <x:v>https://www.vicorpower.com/</x:v>
      </x:c>
      <x:c r="G217" t="str">
        <x:v>Andover</x:v>
      </x:c>
      <x:c r="H217" s="8" t="str">
        <x:v>Snov</x:v>
      </x:c>
      <x:c r="I217" s="8" t="str">
        <x:v>Not Started</x:v>
      </x:c>
      <x:c r="J217" s="8" t="str">
        <x:v>ENTERPRISE_MANUFACTURING</x:v>
      </x:c>
      <x:c r="K217" s="7" t="str">
        <x:f>IFERROR(VLOOKUP(J217,'TARGETING_RULES'!$A$6:$D$55,4,FALSE),"")</x:f>
        <x:v>Plant Manager &gt; Training Director &gt; L&amp;D Director &gt; Workforce Development Director &gt; Operations Director &gt; HR Director &gt; VP of HR</x:v>
      </x:c>
    </x:row>
    <x:row r="218" ht="42" customHeight="1">
      <x:c r="A218" t="str">
        <x:v>Vivonics, Inc.</x:v>
      </x:c>
      <x:c r="B218" t="str">
        <x:v>Biomedical Engineering R&amp;D</x:v>
      </x:c>
      <x:c r="C218" s="12" t="n">
        <x:v>9</x:v>
      </x:c>
      <x:c r="D218" s="13" t="str">
        <x:v>Not visible</x:v>
      </x:c>
      <x:c r="E218" s="7" t="str">
        <x:v>https://www.linkedin.com/company/vivonics-inc-</x:v>
      </x:c>
      <x:c r="F218" s="7" t="str">
        <x:v>https://www.vivonics.com/</x:v>
      </x:c>
      <x:c r="G218" t="str">
        <x:v>Bedford</x:v>
      </x:c>
      <x:c r="H218" s="8" t="str">
        <x:v>Snov</x:v>
      </x:c>
      <x:c r="I218" s="8" t="str">
        <x:v>Not Started</x:v>
      </x:c>
      <x:c r="J218" s="8" t="str">
        <x:v>SMALL_TECH_PROFESSIONAL</x:v>
      </x:c>
      <x:c r="K218" s="7" t="str">
        <x:f>IFERROR(VLOOKUP(J218,'TARGETING_RULES'!$A$6:$D$55,4,FALSE),"")</x:f>
        <x:v>Owner &gt; Founder &gt; Co-Founder &gt; President &gt; CEO &gt; Managing Partner &gt; COO &gt; People Operations Manager &gt; HR Manager</x:v>
      </x:c>
    </x:row>
    <x:row r="219" ht="42" customHeight="1">
      <x:c r="A219" t="str">
        <x:v>WareRite</x:v>
      </x:c>
      <x:c r="B219" t="str">
        <x:v>Countertop Manufacturing</x:v>
      </x:c>
      <x:c r="C219" s="12" t="str">
        <x:v>Not visible</x:v>
      </x:c>
      <x:c r="D219" s="13" t="str">
        <x:v>Not visible</x:v>
      </x:c>
      <x:c r="E219" s="7" t="str">
        <x:v>Not verified</x:v>
      </x:c>
      <x:c r="F219" s="7" t="str">
        <x:v>https://warerite.com/</x:v>
      </x:c>
      <x:c r="G219" t="str">
        <x:v>East Bridgewater</x:v>
      </x:c>
      <x:c r="H219" s="8" t="str">
        <x:v>Snov</x:v>
      </x:c>
      <x:c r="I219" s="8" t="str">
        <x:v>Not Started</x:v>
      </x:c>
      <x:c r="J219" s="8" t="str">
        <x:v>UNKNOWN_MANUFACTURING</x:v>
      </x:c>
      <x:c r="K219" s="7" t="str">
        <x:f>IFERROR(VLOOKUP(J219,'TARGETING_RULES'!$A$6:$D$55,4,FALSE),"")</x:f>
        <x:v>Owner &gt; President &gt; CEO &gt; Plant Manager &gt; Operations Director &gt; Training Manager &gt; HR Director</x:v>
      </x:c>
    </x:row>
    <x:row r="220" ht="42" customHeight="1">
      <x:c r="A220" t="str">
        <x:v>Wash Cycle Laundry</x:v>
      </x:c>
      <x:c r="B220" t="str">
        <x:v>Laundry Services</x:v>
      </x:c>
      <x:c r="C220" s="12" t="str">
        <x:v>Not visible</x:v>
      </x:c>
      <x:c r="D220" s="13" t="str">
        <x:v>51-200</x:v>
      </x:c>
      <x:c r="E220" s="7" t="str">
        <x:v>https://www.linkedin.com/company/wash-cycle-lndry</x:v>
      </x:c>
      <x:c r="F220" s="7" t="str">
        <x:v>https://www.washcyclelaundry.com/</x:v>
      </x:c>
      <x:c r="G220" t="str">
        <x:v>Lynn</x:v>
      </x:c>
      <x:c r="H220" s="8" t="str">
        <x:v>Snov</x:v>
      </x:c>
      <x:c r="I220" s="8" t="str">
        <x:v>Not Started</x:v>
      </x:c>
      <x:c r="J220" s="8" t="str">
        <x:v>MID_LOGISTICS_OPERATIONS</x:v>
      </x:c>
      <x:c r="K220" s="7" t="str">
        <x:f>IFERROR(VLOOKUP(J220,'TARGETING_RULES'!$A$6:$D$55,4,FALSE),"")</x:f>
        <x:v>Operations Director &gt; General Manager &gt; Safety Manager &gt; Training Manager &gt; HR Director &gt; President &gt; CEO</x:v>
      </x:c>
    </x:row>
    <x:row r="221" ht="42" customHeight="1">
      <x:c r="A221" t="str">
        <x:v>Wave Life Sciences USA, Inc.</x:v>
      </x:c>
      <x:c r="B221" t="str">
        <x:v>Biotechnology</x:v>
      </x:c>
      <x:c r="C221" s="12" t="n">
        <x:v>386</x:v>
      </x:c>
      <x:c r="D221" s="13" t="str">
        <x:v>201-500</x:v>
      </x:c>
      <x:c r="E221" s="7" t="str">
        <x:v>https://www.linkedin.com/company/wave-life-sciences</x:v>
      </x:c>
      <x:c r="F221" s="7" t="str">
        <x:v>https://www.wavelifesciences.com/</x:v>
      </x:c>
      <x:c r="G221" t="str">
        <x:v>Cambridge</x:v>
      </x:c>
      <x:c r="H221" s="8" t="str">
        <x:v>Snov</x:v>
      </x:c>
      <x:c r="I221" s="8" t="str">
        <x:v>Not Started</x:v>
      </x:c>
      <x:c r="J221" s="8" t="str">
        <x:v>LARGE_TECH_PROFESSIONAL</x:v>
      </x:c>
      <x:c r="K221" s="7" t="str">
        <x:f>IFERROR(VLOOKUP(J221,'TARGETING_RULES'!$A$6:$D$55,4,FALSE),"")</x:f>
        <x:v>L&amp;D Director &gt; People Operations Director &gt; Talent Development Director &gt; Organizational Development Director &gt; HR Director &gt; VP of People</x:v>
      </x:c>
    </x:row>
    <x:row r="222" ht="42" customHeight="1">
      <x:c r="A222" t="str">
        <x:v>WeCare 365</x:v>
      </x:c>
      <x:c r="B222" t="str">
        <x:v>Home Health Care Services</x:v>
      </x:c>
      <x:c r="C222" s="12" t="str">
        <x:v>Not visible</x:v>
      </x:c>
      <x:c r="D222" s="13" t="str">
        <x:v>51-200</x:v>
      </x:c>
      <x:c r="E222" s="7" t="str">
        <x:v>https://www.linkedin.com/company/wecare-365-afc</x:v>
      </x:c>
      <x:c r="F222" s="7" t="str">
        <x:v>https://www.wecare365afc.com/</x:v>
      </x:c>
      <x:c r="G222" t="str">
        <x:v>Brockton</x:v>
      </x:c>
      <x:c r="H222" s="8" t="str">
        <x:v>Snov</x:v>
      </x:c>
      <x:c r="I222" s="8" t="str">
        <x:v>Not Started</x:v>
      </x:c>
      <x:c r="J222" s="8" t="str">
        <x:v>MID_HEALTHCARE</x:v>
      </x:c>
      <x:c r="K222" s="7" t="str">
        <x:f>IFERROR(VLOOKUP(J222,'TARGETING_RULES'!$A$6:$D$55,4,FALSE),"")</x:f>
        <x:v>Workforce Development Director &gt; Clinical Education Director &gt; L&amp;D Director &gt; HR Director &gt; Executive Director &gt; Operations Director</x:v>
      </x:c>
    </x:row>
    <x:row r="223" ht="42" customHeight="1">
      <x:c r="A223" t="str">
        <x:v>Webster Five</x:v>
      </x:c>
      <x:c r="B223" t="str">
        <x:v>Banking</x:v>
      </x:c>
      <x:c r="C223" s="12" t="n">
        <x:v>139</x:v>
      </x:c>
      <x:c r="D223" s="13" t="str">
        <x:v>51-200</x:v>
      </x:c>
      <x:c r="E223" s="7" t="str">
        <x:v>https://www.linkedin.com/company/webster-five</x:v>
      </x:c>
      <x:c r="F223" s="7" t="str">
        <x:v>https://www.websterfive.com/</x:v>
      </x:c>
      <x:c r="G223" t="str">
        <x:v>Auburn</x:v>
      </x:c>
      <x:c r="H223" s="8" t="str">
        <x:v>Snov</x:v>
      </x:c>
      <x:c r="I223" s="8" t="str">
        <x:v>Not Started</x:v>
      </x:c>
      <x:c r="J223" s="8" t="str">
        <x:v>MID_FINANCIAL_SERVICES</x:v>
      </x:c>
      <x:c r="K223" s="7" t="str">
        <x:f>IFERROR(VLOOKUP(J223,'TARGETING_RULES'!$A$6:$D$55,4,FALSE),"")</x:f>
        <x:v>HR Director &gt; L&amp;D Manager &gt; Training Manager &gt; COO &gt; Operations Director &gt; President &gt; CEO</x:v>
      </x:c>
    </x:row>
    <x:row r="224" ht="42" customHeight="1">
      <x:c r="A224" t="str">
        <x:v>Westfield Bank</x:v>
      </x:c>
      <x:c r="B224" t="str">
        <x:v>Banking</x:v>
      </x:c>
      <x:c r="C224" s="12" t="str">
        <x:v>Not visible</x:v>
      </x:c>
      <x:c r="D224" s="13" t="str">
        <x:v>201-500</x:v>
      </x:c>
      <x:c r="E224" s="7" t="str">
        <x:v>https://www.linkedin.com/company/westfieldbank</x:v>
      </x:c>
      <x:c r="F224" s="7" t="str">
        <x:v>https://www.westfieldbank.com/</x:v>
      </x:c>
      <x:c r="G224" t="str">
        <x:v>Westfield</x:v>
      </x:c>
      <x:c r="H224" s="8" t="str">
        <x:v>Snov</x:v>
      </x:c>
      <x:c r="I224" s="8" t="str">
        <x:v>Not Started</x:v>
      </x:c>
      <x:c r="J224" s="8" t="str">
        <x:v>LARGE_FINANCIAL_SERVICES</x:v>
      </x:c>
      <x:c r="K224" s="7" t="str">
        <x:f>IFERROR(VLOOKUP(J224,'TARGETING_RULES'!$A$6:$D$55,4,FALSE),"")</x:f>
        <x:v>L&amp;D Director &gt; Training Director &gt; HR Director &gt; Talent Development Director &gt; COO &gt; VP of HR</x:v>
      </x:c>
    </x:row>
    <x:row r="225" ht="42" customHeight="1">
      <x:c r="A225" t="str">
        <x:v>WestRock</x:v>
      </x:c>
      <x:c r="B225" t="str">
        <x:v>Packaging Manufacturing</x:v>
      </x:c>
      <x:c r="C225" s="12" t="n">
        <x:v>13171</x:v>
      </x:c>
      <x:c r="D225" s="13" t="str">
        <x:v>10,001+</x:v>
      </x:c>
      <x:c r="E225" s="7" t="str">
        <x:v>https://www.linkedin.com/company/westrockcompany</x:v>
      </x:c>
      <x:c r="F225" s="7" t="str">
        <x:v>https://www.smurfitwestrock.com/</x:v>
      </x:c>
      <x:c r="G225" t="str">
        <x:v>Devens</x:v>
      </x:c>
      <x:c r="H225" s="8" t="str">
        <x:v>Snov</x:v>
      </x:c>
      <x:c r="I225" s="8" t="str">
        <x:v>Not Started</x:v>
      </x:c>
      <x:c r="J225" s="8" t="str">
        <x:v>ENTERPRISE_MANUFACTURING</x:v>
      </x:c>
      <x:c r="K225" s="7" t="str">
        <x:f>IFERROR(VLOOKUP(J225,'TARGETING_RULES'!$A$6:$D$55,4,FALSE),"")</x:f>
        <x:v>Plant Manager &gt; Training Director &gt; L&amp;D Director &gt; Workforce Development Director &gt; Operations Director &gt; HR Director &gt; VP of HR</x:v>
      </x:c>
    </x:row>
    <x:row r="226" ht="42" customHeight="1">
      <x:c r="A226" t="str">
        <x:v>Whitin Community Center</x:v>
      </x:c>
      <x:c r="B226" t="str">
        <x:v>Recreation &amp; Community Services</x:v>
      </x:c>
      <x:c r="C226" s="12" t="str">
        <x:v>Not visible</x:v>
      </x:c>
      <x:c r="D226" s="13" t="str">
        <x:v>51-200</x:v>
      </x:c>
      <x:c r="E226" s="7" t="str">
        <x:v>https://www.linkedin.com/company/whitincommunitycenter</x:v>
      </x:c>
      <x:c r="F226" s="7" t="str">
        <x:v>https://www.whitincommunitycenter.com/</x:v>
      </x:c>
      <x:c r="G226" t="str">
        <x:v>Whitinsville</x:v>
      </x:c>
      <x:c r="H226" s="8" t="str">
        <x:v>Snov</x:v>
      </x:c>
      <x:c r="I226" s="8" t="str">
        <x:v>Not Started</x:v>
      </x:c>
      <x:c r="J226" s="8" t="str">
        <x:v>MID_NONPROFIT_SOCIAL</x:v>
      </x:c>
      <x:c r="K226" s="7" t="str">
        <x:f>IFERROR(VLOOKUP(J226,'TARGETING_RULES'!$A$6:$D$55,4,FALSE),"")</x:f>
        <x:v>Executive Director &gt; Workforce Development Director &gt; Training Director &gt; L&amp;D Director &gt; Operations Director &gt; HR Director</x:v>
      </x:c>
    </x:row>
    <x:row r="227" ht="42" customHeight="1">
      <x:c r="A227" t="str">
        <x:v>Wirefab</x:v>
      </x:c>
      <x:c r="B227" t="str">
        <x:v>Wire Products Manufacturing</x:v>
      </x:c>
      <x:c r="C227" s="12" t="n">
        <x:v>26</x:v>
      </x:c>
      <x:c r="D227" s="13" t="str">
        <x:v>51-200</x:v>
      </x:c>
      <x:c r="E227" s="7" t="str">
        <x:v>https://www.linkedin.com/company/wirefab-inc</x:v>
      </x:c>
      <x:c r="F227" s="7" t="str">
        <x:v>https://www.wirefab.com/</x:v>
      </x:c>
      <x:c r="G227" t="str">
        <x:v>Worcester</x:v>
      </x:c>
      <x:c r="H227" s="8" t="str">
        <x:v>Snov</x:v>
      </x:c>
      <x:c r="I227" s="8" t="str">
        <x:v>Not Started</x:v>
      </x:c>
      <x:c r="J227" s="8" t="str">
        <x:v>MID_MANUFACTURING</x:v>
      </x:c>
      <x:c r="K227" s="7" t="str">
        <x:f>IFERROR(VLOOKUP(J227,'TARGETING_RULES'!$A$6:$D$55,4,FALSE),"")</x:f>
        <x:v>Plant Manager &gt; Operations Director &gt; HR Director &gt; Training Manager &gt; Safety Manager &gt; President &gt; CEO</x:v>
      </x:c>
    </x:row>
    <x:row r="228" ht="42" customHeight="1">
      <x:c r="A228" t="str">
        <x:v>Wolf &amp; Company, P.C.</x:v>
      </x:c>
      <x:c r="B228" t="str">
        <x:v>Accounting</x:v>
      </x:c>
      <x:c r="C228" s="12" t="n">
        <x:v>561</x:v>
      </x:c>
      <x:c r="D228" s="13" t="str">
        <x:v>201-500</x:v>
      </x:c>
      <x:c r="E228" s="7" t="str">
        <x:v>https://www.linkedin.com/company/wolf-%26-company-p-c-</x:v>
      </x:c>
      <x:c r="F228" s="7" t="str">
        <x:v>https://www.wolfandco.com/</x:v>
      </x:c>
      <x:c r="G228" t="str">
        <x:v>Boston</x:v>
      </x:c>
      <x:c r="H228" s="8" t="str">
        <x:v>Snov</x:v>
      </x:c>
      <x:c r="I228" s="8" t="str">
        <x:v>Not Started</x:v>
      </x:c>
      <x:c r="J228" s="8" t="str">
        <x:v>LARGE_FINANCIAL_SERVICES</x:v>
      </x:c>
      <x:c r="K228" s="7" t="str">
        <x:f>IFERROR(VLOOKUP(J228,'TARGETING_RULES'!$A$6:$D$55,4,FALSE),"")</x:f>
        <x:v>L&amp;D Director &gt; Training Director &gt; HR Director &gt; Talent Development Director &gt; COO &gt; VP of HR</x:v>
      </x:c>
    </x:row>
    <x:row r="229" ht="42" customHeight="1">
      <x:c r="A229" t="str">
        <x:v>Worcester Envelope Company</x:v>
      </x:c>
      <x:c r="B229" t="str">
        <x:v>Envelope &amp; Printing Manufacturing</x:v>
      </x:c>
      <x:c r="C229" s="12" t="str">
        <x:v>Not visible</x:v>
      </x:c>
      <x:c r="D229" s="13" t="str">
        <x:v>Not visible</x:v>
      </x:c>
      <x:c r="E229" s="7" t="str">
        <x:v>Not verified</x:v>
      </x:c>
      <x:c r="F229" s="7" t="str">
        <x:v>https://corp.worcesterenvelope.com/</x:v>
      </x:c>
      <x:c r="G229" t="str">
        <x:v>Worcester</x:v>
      </x:c>
      <x:c r="H229" s="8" t="str">
        <x:v>Snov</x:v>
      </x:c>
      <x:c r="I229" s="8" t="str">
        <x:v>Not Started</x:v>
      </x:c>
      <x:c r="J229" s="8" t="str">
        <x:v>UNKNOWN_MANUFACTURING</x:v>
      </x:c>
      <x:c r="K229" s="7" t="str">
        <x:f>IFERROR(VLOOKUP(J229,'TARGETING_RULES'!$A$6:$D$55,4,FALSE),"")</x:f>
        <x:v>Owner &gt; President &gt; CEO &gt; Plant Manager &gt; Operations Director &gt; Training Manager &gt; HR Director</x:v>
      </x:c>
    </x:row>
    <x:row r="230" ht="42" customHeight="1">
      <x:c r="A230" t="str">
        <x:v>Wrentham Tool Group Inc.</x:v>
      </x:c>
      <x:c r="B230" t="str">
        <x:v>Tool &amp; Die Manufacturing</x:v>
      </x:c>
      <x:c r="C230" s="12" t="n">
        <x:v>28</x:v>
      </x:c>
      <x:c r="D230" s="13" t="str">
        <x:v>51-200</x:v>
      </x:c>
      <x:c r="E230" s="7" t="str">
        <x:v>https://www.linkedin.com/company/wrentham-tool-products-llc</x:v>
      </x:c>
      <x:c r="F230" s="7" t="str">
        <x:v>https://wrenthamtool.com/</x:v>
      </x:c>
      <x:c r="G230" t="str">
        <x:v>Bellingham</x:v>
      </x:c>
      <x:c r="H230" s="8" t="str">
        <x:v>Snov</x:v>
      </x:c>
      <x:c r="I230" s="8" t="str">
        <x:v>Not Started</x:v>
      </x:c>
      <x:c r="J230" s="8" t="str">
        <x:v>MID_MANUFACTURING</x:v>
      </x:c>
      <x:c r="K230" s="7" t="str">
        <x:f>IFERROR(VLOOKUP(J230,'TARGETING_RULES'!$A$6:$D$55,4,FALSE),"")</x:f>
        <x:v>Plant Manager &gt; Operations Director &gt; HR Director &gt; Training Manager &gt; Safety Manager &gt; President &gt; CEO</x:v>
      </x:c>
    </x:row>
  </x:sheetData>
  <x:conditionalFormatting sqref="C2:F230">
    <x:cfRule type="containsText" dxfId="0" priority="1" operator="containsText" text="Not verified"/>
    <x:cfRule type="containsText" dxfId="1" priority="2" operator="containsText" text="Not visible"/>
  </x:conditionalFormatting>
  <x:conditionalFormatting sqref="I2:I230">
    <x:cfRule type="containsText" dxfId="2" priority="3" operator="containsText" text="Not Started"/>
    <x:cfRule type="containsText" dxfId="3" priority="4" operator="containsText" text="In Progress"/>
    <x:cfRule type="containsText" dxfId="4" priority="5" operator="containsText" text="Ready"/>
    <x:cfRule type="containsText" dxfId="5" priority="6" operator="containsText" text="Needs Review"/>
    <x:cfRule type="containsText" dxfId="6" priority="7" operator="containsText" text="Rejected"/>
  </x:conditionalFormatting>
  <x:dataValidations count="1">
    <x:dataValidation type="list" sqref="I2:I230">
      <x:formula1>"Not Started,In Progress,Ready,Needs Review,Rejected"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6b2b9b20af4d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5" hidden="0" customWidth="1"/>
    <x:col min="3" max="3" width="21" hidden="0" customWidth="1"/>
    <x:col min="4" max="4" width="22" hidden="0" customWidth="1"/>
    <x:col min="5" max="5" width="52" hidden="0" customWidth="1"/>
    <x:col min="6" max="6" width="42" hidden="0" customWidth="1"/>
    <x:col min="7" max="7" width="20" hidden="0" customWidth="1"/>
    <x:col min="8" max="8" width="17" hidden="0" customWidth="1"/>
    <x:col min="9" max="9" width="19" hidden="0" customWidth="1"/>
    <x:col min="10" max="10" width="34" hidden="0" customWidth="1"/>
    <x:col min="11" max="11" width="92" hidden="0" customWidth="1"/>
  </x:cols>
  <x:sheetData>
    <x:row r="1" ht="30" customHeight="1">
      <x:c r="A1" t="str">
        <x:v>company</x:v>
      </x:c>
      <x:c r="B1" t="str">
        <x:v>industry</x:v>
      </x:c>
      <x:c r="C1" t="str">
        <x:v>linkedinEmployeeCount</x:v>
      </x:c>
      <x:c r="D1" t="str">
        <x:v>linkedInCompanySize</x:v>
      </x:c>
      <x:c r="E1" t="str">
        <x:v>linkedInUrl</x:v>
      </x:c>
      <x:c r="F1" t="str">
        <x:v>website</x:v>
      </x:c>
      <x:c r="G1" t="str">
        <x:v>city</x:v>
      </x:c>
      <x:c r="H1" t="str">
        <x:v>assignedTool</x:v>
      </x:c>
      <x:c r="I1" t="str">
        <x:v>reviewStatus</x:v>
      </x:c>
      <x:c r="J1" t="str">
        <x:v>targetingTrack</x:v>
      </x:c>
      <x:c r="K1" t="str">
        <x:v>targetTitlePriority</x:v>
      </x:c>
    </x:row>
    <x:row r="2" ht="42" customHeight="1">
      <x:c r="A2" t="str">
        <x:f>'MASTER_QUEUE'!A2</x:f>
        <x:v>101 Federal Street, LLC</x:v>
      </x:c>
      <x:c r="B2" t="str">
        <x:f>'MASTER_QUEUE'!B2</x:f>
        <x:v>Commercial Real Estate</x:v>
      </x:c>
      <x:c r="C2" s="12" t="str">
        <x:f>'MASTER_QUEUE'!C2</x:f>
        <x:v>Not verified</x:v>
      </x:c>
      <x:c r="D2" s="13" t="str">
        <x:f>'MASTER_QUEUE'!D2</x:f>
        <x:v>Not verified</x:v>
      </x:c>
      <x:c r="E2" s="7" t="str">
        <x:f>'MASTER_QUEUE'!E2</x:f>
        <x:v>Not verified</x:v>
      </x:c>
      <x:c r="F2" s="7" t="str">
        <x:f>'MASTER_QUEUE'!F2</x:f>
        <x:v>Not verified</x:v>
      </x:c>
      <x:c r="G2" t="str">
        <x:f>'MASTER_QUEUE'!G2</x:f>
        <x:v>Boston</x:v>
      </x:c>
      <x:c r="H2" s="8" t="str">
        <x:f>'MASTER_QUEUE'!H2</x:f>
        <x:v>Apollo</x:v>
      </x:c>
      <x:c r="I2" s="8" t="str">
        <x:f>'MASTER_QUEUE'!I2</x:f>
        <x:v>Not Started</x:v>
      </x:c>
      <x:c r="J2" s="8" t="str">
        <x:f>'MASTER_QUEUE'!J2</x:f>
        <x:v>UNKNOWN_REAL_ESTATE_FACILITIES</x:v>
      </x:c>
      <x:c r="K2" s="7" t="str">
        <x:f>'MASTER_QUEUE'!K2</x:f>
        <x:v>Owner &gt; President &gt; CEO &gt; Property Manager &gt; Facilities Director &gt; Operations Director &gt; HR Director</x:v>
      </x:c>
    </x:row>
    <x:row r="3" ht="42" customHeight="1">
      <x:c r="A3" t="str">
        <x:f>'MASTER_QUEUE'!A3</x:f>
        <x:v>11 Compliance Consulting Corp</x:v>
      </x:c>
      <x:c r="B3" t="str">
        <x:f>'MASTER_QUEUE'!B3</x:f>
        <x:v>Financial Compliance Consulting</x:v>
      </x:c>
      <x:c r="C3" s="12" t="n">
        <x:f>'MASTER_QUEUE'!C3</x:f>
        <x:v>7</x:v>
      </x:c>
      <x:c r="D3" s="13" t="str">
        <x:f>'MASTER_QUEUE'!D3</x:f>
        <x:v>11-50</x:v>
      </x:c>
      <x:c r="E3" s="7" t="str">
        <x:f>'MASTER_QUEUE'!E3</x:f>
        <x:v>https://www.linkedin.com/company/11-compliance-consulting</x:v>
      </x:c>
      <x:c r="F3" s="7" t="str">
        <x:f>'MASTER_QUEUE'!F3</x:f>
        <x:v>https://www.11compliance.com/</x:v>
      </x:c>
      <x:c r="G3" t="str">
        <x:f>'MASTER_QUEUE'!G3</x:f>
        <x:v>Swansea</x:v>
      </x:c>
      <x:c r="H3" s="8" t="str">
        <x:f>'MASTER_QUEUE'!H3</x:f>
        <x:v>Apollo</x:v>
      </x:c>
      <x:c r="I3" s="8" t="str">
        <x:f>'MASTER_QUEUE'!I3</x:f>
        <x:v>Not Started</x:v>
      </x:c>
      <x:c r="J3" s="8" t="str">
        <x:f>'MASTER_QUEUE'!J3</x:f>
        <x:v>SMALL_FINANCIAL_SERVICES</x:v>
      </x:c>
      <x:c r="K3" s="7" t="str">
        <x:f>'MASTER_QUEUE'!K3</x:f>
        <x:v>Owner &gt; Founder &gt; Co-Founder &gt; President &gt; CEO &gt; Managing Partner &gt; COO &gt; HR Manager &gt; Training Manager</x:v>
      </x:c>
    </x:row>
    <x:row r="4" ht="42" customHeight="1">
      <x:c r="A4" t="str">
        <x:f>'MASTER_QUEUE'!A4</x:f>
        <x:v>12 Penny Exteriors, Inc.</x:v>
      </x:c>
      <x:c r="B4" t="str">
        <x:f>'MASTER_QUEUE'!B4</x:f>
        <x:v>Roofing &amp; Exterior Construction</x:v>
      </x:c>
      <x:c r="C4" s="12" t="str">
        <x:f>'MASTER_QUEUE'!C4</x:f>
        <x:v>Not verified</x:v>
      </x:c>
      <x:c r="D4" s="13" t="str">
        <x:f>'MASTER_QUEUE'!D4</x:f>
        <x:v>Not verified</x:v>
      </x:c>
      <x:c r="E4" s="7" t="str">
        <x:f>'MASTER_QUEUE'!E4</x:f>
        <x:v>Not verified</x:v>
      </x:c>
      <x:c r="F4" s="7" t="str">
        <x:f>'MASTER_QUEUE'!F4</x:f>
        <x:v>https://12penny.com/</x:v>
      </x:c>
      <x:c r="G4" t="str">
        <x:f>'MASTER_QUEUE'!G4</x:f>
        <x:v>Littleton</x:v>
      </x:c>
      <x:c r="H4" s="8" t="str">
        <x:f>'MASTER_QUEUE'!H4</x:f>
        <x:v>Apollo</x:v>
      </x:c>
      <x:c r="I4" s="8" t="str">
        <x:f>'MASTER_QUEUE'!I4</x:f>
        <x:v>Not Started</x:v>
      </x:c>
      <x:c r="J4" s="8" t="str">
        <x:f>'MASTER_QUEUE'!J4</x:f>
        <x:v>UNKNOWN_CONSTRUCTION_TRADES</x:v>
      </x:c>
      <x:c r="K4" s="7" t="str">
        <x:f>'MASTER_QUEUE'!K4</x:f>
        <x:v>Owner &gt; President &gt; CEO &gt; Operations Director &gt; Safety Manager &gt; Training Manager &gt; HR Director</x:v>
      </x:c>
    </x:row>
    <x:row r="5" ht="42" customHeight="1">
      <x:c r="A5" t="str">
        <x:f>'MASTER_QUEUE'!A5</x:f>
        <x:v>1369 LLC</x:v>
      </x:c>
      <x:c r="B5" t="str">
        <x:f>'MASTER_QUEUE'!B5</x:f>
        <x:v>Restaurants &amp; Coffeehouses</x:v>
      </x:c>
      <x:c r="C5" s="12" t="n">
        <x:f>'MASTER_QUEUE'!C5</x:f>
        <x:v>28</x:v>
      </x:c>
      <x:c r="D5" s="13" t="str">
        <x:f>'MASTER_QUEUE'!D5</x:f>
        <x:v>11-50</x:v>
      </x:c>
      <x:c r="E5" s="7" t="str">
        <x:f>'MASTER_QUEUE'!E5</x:f>
        <x:v>https://www.linkedin.com/company/1369-coffeehouse</x:v>
      </x:c>
      <x:c r="F5" s="7" t="str">
        <x:f>'MASTER_QUEUE'!F5</x:f>
        <x:v>http://www.1369coffeehouse.com</x:v>
      </x:c>
      <x:c r="G5" t="str">
        <x:f>'MASTER_QUEUE'!G5</x:f>
        <x:v>Cambridge</x:v>
      </x:c>
      <x:c r="H5" s="8" t="str">
        <x:f>'MASTER_QUEUE'!H5</x:f>
        <x:v>Apollo</x:v>
      </x:c>
      <x:c r="I5" s="8" t="str">
        <x:f>'MASTER_QUEUE'!I5</x:f>
        <x:v>Not Started</x:v>
      </x:c>
      <x:c r="J5" s="8" t="str">
        <x:f>'MASTER_QUEUE'!J5</x:f>
        <x:v>SMALL_HOSPITALITY_RETAIL</x:v>
      </x:c>
      <x:c r="K5" s="7" t="str">
        <x:f>'MASTER_QUEUE'!K5</x:f>
        <x:v>Owner &gt; Founder &gt; Co-Founder &gt; President &gt; CEO &gt; General Manager &gt; Operations Manager &gt; Training Manager &gt; HR Manager</x:v>
      </x:c>
    </x:row>
    <x:row r="6" ht="42" customHeight="1">
      <x:c r="A6" t="str">
        <x:f>'MASTER_QUEUE'!A6</x:f>
        <x:v>23 French King Highway LLC</x:v>
      </x:c>
      <x:c r="B6" t="str">
        <x:f>'MASTER_QUEUE'!B6</x:f>
        <x:v>Commercial Real Estate</x:v>
      </x:c>
      <x:c r="C6" s="12" t="str">
        <x:f>'MASTER_QUEUE'!C6</x:f>
        <x:v>Not verified</x:v>
      </x:c>
      <x:c r="D6" s="13" t="str">
        <x:f>'MASTER_QUEUE'!D6</x:f>
        <x:v>Not verified</x:v>
      </x:c>
      <x:c r="E6" s="7" t="str">
        <x:f>'MASTER_QUEUE'!E6</x:f>
        <x:v>Not verified</x:v>
      </x:c>
      <x:c r="F6" s="7" t="str">
        <x:f>'MASTER_QUEUE'!F6</x:f>
        <x:v>Not verified</x:v>
      </x:c>
      <x:c r="G6" t="str">
        <x:f>'MASTER_QUEUE'!G6</x:f>
        <x:v>Gill</x:v>
      </x:c>
      <x:c r="H6" s="8" t="str">
        <x:f>'MASTER_QUEUE'!H6</x:f>
        <x:v>Apollo</x:v>
      </x:c>
      <x:c r="I6" s="8" t="str">
        <x:f>'MASTER_QUEUE'!I6</x:f>
        <x:v>Not Started</x:v>
      </x:c>
      <x:c r="J6" s="8" t="str">
        <x:f>'MASTER_QUEUE'!J6</x:f>
        <x:v>UNKNOWN_REAL_ESTATE_FACILITIES</x:v>
      </x:c>
      <x:c r="K6" s="7" t="str">
        <x:f>'MASTER_QUEUE'!K6</x:f>
        <x:v>Owner &gt; President &gt; CEO &gt; Property Manager &gt; Facilities Director &gt; Operations Director &gt; HR Director</x:v>
      </x:c>
    </x:row>
    <x:row r="7" ht="42" customHeight="1">
      <x:c r="A7" t="str">
        <x:f>'MASTER_QUEUE'!A7</x:f>
        <x:v>28 Freight LLC</x:v>
      </x:c>
      <x:c r="B7" t="str">
        <x:f>'MASTER_QUEUE'!B7</x:f>
        <x:v>Trucking &amp; Logistics</x:v>
      </x:c>
      <x:c r="C7" s="12" t="n">
        <x:f>'MASTER_QUEUE'!C7</x:f>
        <x:v>29</x:v>
      </x:c>
      <x:c r="D7" s="13" t="str">
        <x:f>'MASTER_QUEUE'!D7</x:f>
        <x:v>11-50</x:v>
      </x:c>
      <x:c r="E7" s="7" t="str">
        <x:f>'MASTER_QUEUE'!E7</x:f>
        <x:v>https://www.linkedin.com/company/28freight-llc</x:v>
      </x:c>
      <x:c r="F7" s="7" t="str">
        <x:f>'MASTER_QUEUE'!F7</x:f>
        <x:v>http://28freight.com</x:v>
      </x:c>
      <x:c r="G7" t="str">
        <x:f>'MASTER_QUEUE'!G7</x:f>
        <x:v>Wilmington</x:v>
      </x:c>
      <x:c r="H7" s="8" t="str">
        <x:f>'MASTER_QUEUE'!H7</x:f>
        <x:v>Apollo</x:v>
      </x:c>
      <x:c r="I7" s="8" t="str">
        <x:f>'MASTER_QUEUE'!I7</x:f>
        <x:v>Not Started</x:v>
      </x:c>
      <x:c r="J7" s="8" t="str">
        <x:f>'MASTER_QUEUE'!J7</x:f>
        <x:v>SMALL_LOGISTICS_OPERATIONS</x:v>
      </x:c>
      <x:c r="K7" s="7" t="str">
        <x:f>'MASTER_QUEUE'!K7</x:f>
        <x:v>Owner &gt; Founder &gt; Co-Founder &gt; President &gt; CEO &gt; General Manager &gt; Operations Manager &gt; Training Manager &gt; Safety Manager &gt; HR Manager</x:v>
      </x:c>
    </x:row>
    <x:row r="8" ht="42" customHeight="1">
      <x:c r="A8" t="str">
        <x:f>'MASTER_QUEUE'!A8</x:f>
        <x:v>2Gether We Eat Inc</x:v>
      </x:c>
      <x:c r="B8" t="str">
        <x:f>'MASTER_QUEUE'!B8</x:f>
        <x:v>Nonprofit &amp; Food Education</x:v>
      </x:c>
      <x:c r="C8" s="12" t="str">
        <x:f>'MASTER_QUEUE'!C8</x:f>
        <x:v>Not verified</x:v>
      </x:c>
      <x:c r="D8" s="13" t="str">
        <x:f>'MASTER_QUEUE'!D8</x:f>
        <x:v>Not verified</x:v>
      </x:c>
      <x:c r="E8" s="7" t="str">
        <x:f>'MASTER_QUEUE'!E8</x:f>
        <x:v>Not verified</x:v>
      </x:c>
      <x:c r="F8" s="7" t="str">
        <x:f>'MASTER_QUEUE'!F8</x:f>
        <x:v>https://2getherweeat.org/</x:v>
      </x:c>
      <x:c r="G8" t="str">
        <x:f>'MASTER_QUEUE'!G8</x:f>
        <x:v>Worcester</x:v>
      </x:c>
      <x:c r="H8" s="8" t="str">
        <x:f>'MASTER_QUEUE'!H8</x:f>
        <x:v>Apollo</x:v>
      </x:c>
      <x:c r="I8" s="8" t="str">
        <x:f>'MASTER_QUEUE'!I8</x:f>
        <x:v>Not Started</x:v>
      </x:c>
      <x:c r="J8" s="8" t="str">
        <x:f>'MASTER_QUEUE'!J8</x:f>
        <x:v>UNKNOWN_NONPROFIT_SOCIAL</x:v>
      </x:c>
      <x:c r="K8" s="7" t="str">
        <x:f>'MASTER_QUEUE'!K8</x:f>
        <x:v>Executive Director &gt; Founder &gt; President &gt; CEO &gt; Workforce Development Director &gt; Training Director &gt; HR Director</x:v>
      </x:c>
    </x:row>
    <x:row r="9" ht="42" customHeight="1">
      <x:c r="A9" t="str">
        <x:f>'MASTER_QUEUE'!A9</x:f>
        <x:v>3 Media Web Solutions Inc.</x:v>
      </x:c>
      <x:c r="B9" t="str">
        <x:f>'MASTER_QUEUE'!B9</x:f>
        <x:v>Digital Marketing &amp; Web Development</x:v>
      </x:c>
      <x:c r="C9" s="12" t="n">
        <x:f>'MASTER_QUEUE'!C9</x:f>
        <x:v>38</x:v>
      </x:c>
      <x:c r="D9" s="13" t="str">
        <x:f>'MASTER_QUEUE'!D9</x:f>
        <x:v>11-50</x:v>
      </x:c>
      <x:c r="E9" s="7" t="str">
        <x:f>'MASTER_QUEUE'!E9</x:f>
        <x:v>https://www.linkedin.com/company/3-media-web-solutions-inc-</x:v>
      </x:c>
      <x:c r="F9" s="7" t="str">
        <x:f>'MASTER_QUEUE'!F9</x:f>
        <x:v>https://www.3mediaweb.com</x:v>
      </x:c>
      <x:c r="G9" t="str">
        <x:f>'MASTER_QUEUE'!G9</x:f>
        <x:v>Boston</x:v>
      </x:c>
      <x:c r="H9" s="8" t="str">
        <x:f>'MASTER_QUEUE'!H9</x:f>
        <x:v>Apollo</x:v>
      </x:c>
      <x:c r="I9" s="8" t="str">
        <x:f>'MASTER_QUEUE'!I9</x:f>
        <x:v>Not Started</x:v>
      </x:c>
      <x:c r="J9" s="8" t="str">
        <x:f>'MASTER_QUEUE'!J9</x:f>
        <x:v>SMALL_TECH_PROFESSIONAL</x:v>
      </x:c>
      <x:c r="K9" s="7" t="str">
        <x:f>'MASTER_QUEUE'!K9</x:f>
        <x:v>Owner &gt; Founder &gt; Co-Founder &gt; President &gt; CEO &gt; Managing Partner &gt; COO &gt; People Operations Manager &gt; HR Manager</x:v>
      </x:c>
    </x:row>
    <x:row r="10" ht="42" customHeight="1">
      <x:c r="A10" t="str">
        <x:f>'MASTER_QUEUE'!A10</x:f>
        <x:v>4 Insurance LLC</x:v>
      </x:c>
      <x:c r="B10" t="str">
        <x:f>'MASTER_QUEUE'!B10</x:f>
        <x:v>Insurance</x:v>
      </x:c>
      <x:c r="C10" s="12" t="n">
        <x:f>'MASTER_QUEUE'!C10</x:f>
        <x:v>5</x:v>
      </x:c>
      <x:c r="D10" s="13" t="str">
        <x:f>'MASTER_QUEUE'!D10</x:f>
        <x:v>2-10</x:v>
      </x:c>
      <x:c r="E10" s="7" t="str">
        <x:f>'MASTER_QUEUE'!E10</x:f>
        <x:v>https://www.linkedin.com/company/4-insurance-llc</x:v>
      </x:c>
      <x:c r="F10" s="7" t="str">
        <x:f>'MASTER_QUEUE'!F10</x:f>
        <x:v>https://4insurancellc.com/</x:v>
      </x:c>
      <x:c r="G10" t="str">
        <x:f>'MASTER_QUEUE'!G10</x:f>
        <x:v>Salem</x:v>
      </x:c>
      <x:c r="H10" s="8" t="str">
        <x:f>'MASTER_QUEUE'!H10</x:f>
        <x:v>Apollo</x:v>
      </x:c>
      <x:c r="I10" s="8" t="str">
        <x:f>'MASTER_QUEUE'!I10</x:f>
        <x:v>Not Started</x:v>
      </x:c>
      <x:c r="J10" s="8" t="str">
        <x:f>'MASTER_QUEUE'!J10</x:f>
        <x:v>SMALL_FINANCIAL_SERVICES</x:v>
      </x:c>
      <x:c r="K10" s="7" t="str">
        <x:f>'MASTER_QUEUE'!K10</x:f>
        <x:v>Owner &gt; Founder &gt; Co-Founder &gt; President &gt; CEO &gt; Managing Partner &gt; COO &gt; HR Manager &gt; Training Manager</x:v>
      </x:c>
    </x:row>
    <x:row r="11" ht="42" customHeight="1">
      <x:c r="A11" t="str">
        <x:f>'MASTER_QUEUE'!A11</x:f>
        <x:v>413 Theraworks, LLC.</x:v>
      </x:c>
      <x:c r="B11" t="str">
        <x:f>'MASTER_QUEUE'!B11</x:f>
        <x:v>Physical Therapy &amp; Wellness</x:v>
      </x:c>
      <x:c r="C11" s="12" t="str">
        <x:f>'MASTER_QUEUE'!C11</x:f>
        <x:v>Not verified</x:v>
      </x:c>
      <x:c r="D11" s="13" t="str">
        <x:f>'MASTER_QUEUE'!D11</x:f>
        <x:v>Not verified</x:v>
      </x:c>
      <x:c r="E11" s="7" t="str">
        <x:f>'MASTER_QUEUE'!E11</x:f>
        <x:v>Not verified</x:v>
      </x:c>
      <x:c r="F11" s="7" t="str">
        <x:f>'MASTER_QUEUE'!F11</x:f>
        <x:v>https://413theraworks.com/</x:v>
      </x:c>
      <x:c r="G11" t="str">
        <x:f>'MASTER_QUEUE'!G11</x:f>
        <x:v>North Adams</x:v>
      </x:c>
      <x:c r="H11" s="8" t="str">
        <x:f>'MASTER_QUEUE'!H11</x:f>
        <x:v>Apollo</x:v>
      </x:c>
      <x:c r="I11" s="8" t="str">
        <x:f>'MASTER_QUEUE'!I11</x:f>
        <x:v>Not Started</x:v>
      </x:c>
      <x:c r="J11" s="8" t="str">
        <x:f>'MASTER_QUEUE'!J11</x:f>
        <x:v>UNKNOWN_HEALTHCARE</x:v>
      </x:c>
      <x:c r="K11" s="7" t="str">
        <x:f>'MASTER_QUEUE'!K11</x:f>
        <x:v>Owner &gt; President &gt; CEO &gt; Executive Director &gt; Workforce Development Director &gt; Clinical Education Director &gt; HR Director</x:v>
      </x:c>
    </x:row>
    <x:row r="12" ht="42" customHeight="1">
      <x:c r="A12" t="str">
        <x:f>'MASTER_QUEUE'!A12</x:f>
        <x:v>5th Line Capital, LLC</x:v>
      </x:c>
      <x:c r="B12" t="str">
        <x:f>'MASTER_QUEUE'!B12</x:f>
        <x:v>Business Lending &amp; Financial Services</x:v>
      </x:c>
      <x:c r="C12" s="12" t="str">
        <x:f>'MASTER_QUEUE'!C12</x:f>
        <x:v>Not verified</x:v>
      </x:c>
      <x:c r="D12" s="13" t="str">
        <x:f>'MASTER_QUEUE'!D12</x:f>
        <x:v>Not verified</x:v>
      </x:c>
      <x:c r="E12" s="7" t="str">
        <x:f>'MASTER_QUEUE'!E12</x:f>
        <x:v>Not verified</x:v>
      </x:c>
      <x:c r="F12" s="7" t="str">
        <x:f>'MASTER_QUEUE'!F12</x:f>
        <x:v>https://www.5thline.co/</x:v>
      </x:c>
      <x:c r="G12" t="str">
        <x:f>'MASTER_QUEUE'!G12</x:f>
        <x:v>Boston</x:v>
      </x:c>
      <x:c r="H12" s="8" t="str">
        <x:f>'MASTER_QUEUE'!H12</x:f>
        <x:v>Apollo</x:v>
      </x:c>
      <x:c r="I12" s="8" t="str">
        <x:f>'MASTER_QUEUE'!I12</x:f>
        <x:v>Not Started</x:v>
      </x:c>
      <x:c r="J12" s="8" t="str">
        <x:f>'MASTER_QUEUE'!J12</x:f>
        <x:v>UNKNOWN_FINANCIAL_SERVICES</x:v>
      </x:c>
      <x:c r="K12" s="7" t="str">
        <x:f>'MASTER_QUEUE'!K12</x:f>
        <x:v>Owner &gt; President &gt; CEO &gt; Managing Partner &gt; HR Director &gt; Training Manager &gt; COO</x:v>
      </x:c>
    </x:row>
    <x:row r="13" ht="42" customHeight="1">
      <x:c r="A13" t="str">
        <x:f>'MASTER_QUEUE'!A13</x:f>
        <x:v>A &amp; A Services, Inc.</x:v>
      </x:c>
      <x:c r="B13" t="str">
        <x:f>'MASTER_QUEUE'!B13</x:f>
        <x:v>Home Improvement &amp; Construction</x:v>
      </x:c>
      <x:c r="C13" s="12" t="n">
        <x:f>'MASTER_QUEUE'!C13</x:f>
        <x:v>6</x:v>
      </x:c>
      <x:c r="D13" s="13" t="str">
        <x:f>'MASTER_QUEUE'!D13</x:f>
        <x:v>11-50</x:v>
      </x:c>
      <x:c r="E13" s="7" t="str">
        <x:f>'MASTER_QUEUE'!E13</x:f>
        <x:v>https://www.linkedin.com/company/a%26a-services-home-improvement</x:v>
      </x:c>
      <x:c r="F13" s="7" t="str">
        <x:f>'MASTER_QUEUE'!F13</x:f>
        <x:v>http://www.a-aservices.com</x:v>
      </x:c>
      <x:c r="G13" t="str">
        <x:f>'MASTER_QUEUE'!G13</x:f>
        <x:v>Salem</x:v>
      </x:c>
      <x:c r="H13" s="8" t="str">
        <x:f>'MASTER_QUEUE'!H13</x:f>
        <x:v>Apollo</x:v>
      </x:c>
      <x:c r="I13" s="8" t="str">
        <x:f>'MASTER_QUEUE'!I13</x:f>
        <x:v>Not Started</x:v>
      </x:c>
      <x:c r="J13" s="8" t="str">
        <x:f>'MASTER_QUEUE'!J13</x:f>
        <x:v>SMALL_CONSTRUCTION_TRADES</x:v>
      </x:c>
      <x:c r="K13" s="7" t="str">
        <x:f>'MASTER_QUEUE'!K13</x:f>
        <x:v>Owner &gt; Founder &gt; Co-Founder &gt; President &gt; CEO &gt; Operations Manager &gt; Safety Manager &gt; Training Manager &gt; HR Manager</x:v>
      </x:c>
    </x:row>
    <x:row r="14" ht="42" customHeight="1">
      <x:c r="A14" t="str">
        <x:f>'MASTER_QUEUE'!A14</x:f>
        <x:v>A Concord Carpenter LLC</x:v>
      </x:c>
      <x:c r="B14" t="str">
        <x:f>'MASTER_QUEUE'!B14</x:f>
        <x:v>Residential Construction</x:v>
      </x:c>
      <x:c r="C14" s="12" t="str">
        <x:f>'MASTER_QUEUE'!C14</x:f>
        <x:v>Not verified</x:v>
      </x:c>
      <x:c r="D14" s="13" t="str">
        <x:f>'MASTER_QUEUE'!D14</x:f>
        <x:v>Not verified</x:v>
      </x:c>
      <x:c r="E14" s="7" t="str">
        <x:f>'MASTER_QUEUE'!E14</x:f>
        <x:v>Not verified</x:v>
      </x:c>
      <x:c r="F14" s="7" t="str">
        <x:f>'MASTER_QUEUE'!F14</x:f>
        <x:v>https://www.aconcordcarpenter.com/</x:v>
      </x:c>
      <x:c r="G14" t="str">
        <x:f>'MASTER_QUEUE'!G14</x:f>
        <x:v>Concord</x:v>
      </x:c>
      <x:c r="H14" s="8" t="str">
        <x:f>'MASTER_QUEUE'!H14</x:f>
        <x:v>Apollo</x:v>
      </x:c>
      <x:c r="I14" s="8" t="str">
        <x:f>'MASTER_QUEUE'!I14</x:f>
        <x:v>Not Started</x:v>
      </x:c>
      <x:c r="J14" s="8" t="str">
        <x:f>'MASTER_QUEUE'!J14</x:f>
        <x:v>UNKNOWN_CONSTRUCTION_TRADES</x:v>
      </x:c>
      <x:c r="K14" s="7" t="str">
        <x:f>'MASTER_QUEUE'!K14</x:f>
        <x:v>Owner &gt; President &gt; CEO &gt; Operations Director &gt; Safety Manager &gt; Training Manager &gt; HR Director</x:v>
      </x:c>
    </x:row>
    <x:row r="15" ht="42" customHeight="1">
      <x:c r="A15" t="str">
        <x:f>'MASTER_QUEUE'!A15</x:f>
        <x:v>A&amp;M CONSTRUCTION COMPANY, INC</x:v>
      </x:c>
      <x:c r="B15" t="str">
        <x:f>'MASTER_QUEUE'!B15</x:f>
        <x:v>Construction</x:v>
      </x:c>
      <x:c r="C15" s="12" t="str">
        <x:f>'MASTER_QUEUE'!C15</x:f>
        <x:v>Not verified</x:v>
      </x:c>
      <x:c r="D15" s="13" t="str">
        <x:f>'MASTER_QUEUE'!D15</x:f>
        <x:v>Not verified</x:v>
      </x:c>
      <x:c r="E15" s="7" t="str">
        <x:f>'MASTER_QUEUE'!E15</x:f>
        <x:v>Not verified</x:v>
      </x:c>
      <x:c r="F15" s="7" t="str">
        <x:f>'MASTER_QUEUE'!F15</x:f>
        <x:v>Not verified</x:v>
      </x:c>
      <x:c r="G15" t="str">
        <x:f>'MASTER_QUEUE'!G15</x:f>
        <x:v>Wakefield</x:v>
      </x:c>
      <x:c r="H15" s="8" t="str">
        <x:f>'MASTER_QUEUE'!H15</x:f>
        <x:v>Apollo</x:v>
      </x:c>
      <x:c r="I15" s="8" t="str">
        <x:f>'MASTER_QUEUE'!I15</x:f>
        <x:v>Not Started</x:v>
      </x:c>
      <x:c r="J15" s="8" t="str">
        <x:f>'MASTER_QUEUE'!J15</x:f>
        <x:v>UNKNOWN_CONSTRUCTION_TRADES</x:v>
      </x:c>
      <x:c r="K15" s="7" t="str">
        <x:f>'MASTER_QUEUE'!K15</x:f>
        <x:v>Owner &gt; President &gt; CEO &gt; Operations Director &gt; Safety Manager &gt; Training Manager &gt; HR Director</x:v>
      </x:c>
    </x:row>
    <x:row r="16" ht="42" customHeight="1">
      <x:c r="A16" t="str">
        <x:f>'MASTER_QUEUE'!A16</x:f>
        <x:v>A&amp;M Tool and Die Company INC</x:v>
      </x:c>
      <x:c r="B16" t="str">
        <x:f>'MASTER_QUEUE'!B16</x:f>
        <x:v>Tool &amp; Die Manufacturing</x:v>
      </x:c>
      <x:c r="C16" s="12" t="str">
        <x:f>'MASTER_QUEUE'!C16</x:f>
        <x:v>Not verified</x:v>
      </x:c>
      <x:c r="D16" s="13" t="str">
        <x:f>'MASTER_QUEUE'!D16</x:f>
        <x:v>Not verified</x:v>
      </x:c>
      <x:c r="E16" s="7" t="str">
        <x:f>'MASTER_QUEUE'!E16</x:f>
        <x:v>Not verified</x:v>
      </x:c>
      <x:c r="F16" s="7" t="str">
        <x:f>'MASTER_QUEUE'!F16</x:f>
        <x:v>Not verified</x:v>
      </x:c>
      <x:c r="G16" t="str">
        <x:f>'MASTER_QUEUE'!G16</x:f>
        <x:v>Southbridge</x:v>
      </x:c>
      <x:c r="H16" s="8" t="str">
        <x:f>'MASTER_QUEUE'!H16</x:f>
        <x:v>Apollo</x:v>
      </x:c>
      <x:c r="I16" s="8" t="str">
        <x:f>'MASTER_QUEUE'!I16</x:f>
        <x:v>Not Started</x:v>
      </x:c>
      <x:c r="J16" s="8" t="str">
        <x:f>'MASTER_QUEUE'!J16</x:f>
        <x:v>UNKNOWN_MANUFACTURING</x:v>
      </x:c>
      <x:c r="K16" s="7" t="str">
        <x:f>'MASTER_QUEUE'!K16</x:f>
        <x:v>Owner &gt; President &gt; CEO &gt; Plant Manager &gt; Operations Director &gt; Training Manager &gt; HR Director</x:v>
      </x:c>
    </x:row>
    <x:row r="17" ht="42" customHeight="1">
      <x:c r="A17" t="str">
        <x:f>'MASTER_QUEUE'!A17</x:f>
        <x:v>A&amp;S Dental Wellness Center of Lowell</x:v>
      </x:c>
      <x:c r="B17" t="str">
        <x:f>'MASTER_QUEUE'!B17</x:f>
        <x:v>Dental Services</x:v>
      </x:c>
      <x:c r="C17" s="12" t="str">
        <x:f>'MASTER_QUEUE'!C17</x:f>
        <x:v>Not verified</x:v>
      </x:c>
      <x:c r="D17" s="13" t="str">
        <x:f>'MASTER_QUEUE'!D17</x:f>
        <x:v>Not verified</x:v>
      </x:c>
      <x:c r="E17" s="7" t="str">
        <x:f>'MASTER_QUEUE'!E17</x:f>
        <x:v>Not verified</x:v>
      </x:c>
      <x:c r="F17" s="7" t="str">
        <x:f>'MASTER_QUEUE'!F17</x:f>
        <x:v>https://lowelldentists.com/</x:v>
      </x:c>
      <x:c r="G17" t="str">
        <x:f>'MASTER_QUEUE'!G17</x:f>
        <x:v>Lowell</x:v>
      </x:c>
      <x:c r="H17" s="8" t="str">
        <x:f>'MASTER_QUEUE'!H17</x:f>
        <x:v>Apollo</x:v>
      </x:c>
      <x:c r="I17" s="8" t="str">
        <x:f>'MASTER_QUEUE'!I17</x:f>
        <x:v>Not Started</x:v>
      </x:c>
      <x:c r="J17" s="8" t="str">
        <x:f>'MASTER_QUEUE'!J17</x:f>
        <x:v>UNKNOWN_HEALTHCARE</x:v>
      </x:c>
      <x:c r="K17" s="7" t="str">
        <x:f>'MASTER_QUEUE'!K17</x:f>
        <x:v>Owner &gt; President &gt; CEO &gt; Executive Director &gt; Workforce Development Director &gt; Clinical Education Director &gt; HR Director</x:v>
      </x:c>
    </x:row>
    <x:row r="18" ht="42" customHeight="1">
      <x:c r="A18" t="str">
        <x:f>'MASTER_QUEUE'!A18</x:f>
        <x:v>A. Wisialko &amp; Company LLC</x:v>
      </x:c>
      <x:c r="B18" t="str">
        <x:f>'MASTER_QUEUE'!B18</x:f>
        <x:v>Accounting &amp; Tax Services</x:v>
      </x:c>
      <x:c r="C18" s="12" t="str">
        <x:f>'MASTER_QUEUE'!C18</x:f>
        <x:v>Not verified</x:v>
      </x:c>
      <x:c r="D18" s="13" t="str">
        <x:f>'MASTER_QUEUE'!D18</x:f>
        <x:v>Not verified</x:v>
      </x:c>
      <x:c r="E18" s="7" t="str">
        <x:f>'MASTER_QUEUE'!E18</x:f>
        <x:v>Not verified</x:v>
      </x:c>
      <x:c r="F18" s="7" t="str">
        <x:f>'MASTER_QUEUE'!F18</x:f>
        <x:v>Not verified</x:v>
      </x:c>
      <x:c r="G18" t="str">
        <x:f>'MASTER_QUEUE'!G18</x:f>
        <x:v>Westwood</x:v>
      </x:c>
      <x:c r="H18" s="8" t="str">
        <x:f>'MASTER_QUEUE'!H18</x:f>
        <x:v>Apollo</x:v>
      </x:c>
      <x:c r="I18" s="8" t="str">
        <x:f>'MASTER_QUEUE'!I18</x:f>
        <x:v>Not Started</x:v>
      </x:c>
      <x:c r="J18" s="8" t="str">
        <x:f>'MASTER_QUEUE'!J18</x:f>
        <x:v>UNKNOWN_FINANCIAL_SERVICES</x:v>
      </x:c>
      <x:c r="K18" s="7" t="str">
        <x:f>'MASTER_QUEUE'!K18</x:f>
        <x:v>Owner &gt; President &gt; CEO &gt; Managing Partner &gt; HR Director &gt; Training Manager &gt; COO</x:v>
      </x:c>
    </x:row>
    <x:row r="19" ht="42" customHeight="1">
      <x:c r="A19" t="str">
        <x:f>'MASTER_QUEUE'!A19</x:f>
        <x:v>A.P.L. SERVICES INC</x:v>
      </x:c>
      <x:c r="B19" t="str">
        <x:f>'MASTER_QUEUE'!B19</x:f>
        <x:v>Amusement Equipment Services</x:v>
      </x:c>
      <x:c r="C19" s="12" t="str">
        <x:f>'MASTER_QUEUE'!C19</x:f>
        <x:v>Not verified</x:v>
      </x:c>
      <x:c r="D19" s="13" t="str">
        <x:f>'MASTER_QUEUE'!D19</x:f>
        <x:v>Not verified</x:v>
      </x:c>
      <x:c r="E19" s="7" t="str">
        <x:f>'MASTER_QUEUE'!E19</x:f>
        <x:v>Not verified</x:v>
      </x:c>
      <x:c r="F19" s="7" t="str">
        <x:f>'MASTER_QUEUE'!F19</x:f>
        <x:v>Not verified</x:v>
      </x:c>
      <x:c r="G19" t="str">
        <x:f>'MASTER_QUEUE'!G19</x:f>
        <x:v>Braintree</x:v>
      </x:c>
      <x:c r="H19" s="8" t="str">
        <x:f>'MASTER_QUEUE'!H19</x:f>
        <x:v>Apollo</x:v>
      </x:c>
      <x:c r="I19" s="8" t="str">
        <x:f>'MASTER_QUEUE'!I19</x:f>
        <x:v>Not Started</x:v>
      </x:c>
      <x:c r="J19" s="8" t="str">
        <x:f>'MASTER_QUEUE'!J19</x:f>
        <x:v>UNKNOWN_HOSPITALITY_RETAIL</x:v>
      </x:c>
      <x:c r="K19" s="7" t="str">
        <x:f>'MASTER_QUEUE'!K19</x:f>
        <x:v>Owner &gt; President &gt; CEO &gt; General Manager &gt; Operations Director &gt; Training Manager &gt; HR Director</x:v>
      </x:c>
    </x:row>
    <x:row r="20" ht="42" customHeight="1">
      <x:c r="A20" t="str">
        <x:f>'MASTER_QUEUE'!A20</x:f>
        <x:v>AAH DENTAL, PLLC</x:v>
      </x:c>
      <x:c r="B20" t="str">
        <x:f>'MASTER_QUEUE'!B20</x:f>
        <x:v>Dental Services</x:v>
      </x:c>
      <x:c r="C20" s="12" t="str">
        <x:f>'MASTER_QUEUE'!C20</x:f>
        <x:v>Not verified</x:v>
      </x:c>
      <x:c r="D20" s="13" t="str">
        <x:f>'MASTER_QUEUE'!D20</x:f>
        <x:v>Not verified</x:v>
      </x:c>
      <x:c r="E20" s="7" t="str">
        <x:f>'MASTER_QUEUE'!E20</x:f>
        <x:v>Not verified</x:v>
      </x:c>
      <x:c r="F20" s="7" t="str">
        <x:f>'MASTER_QUEUE'!F20</x:f>
        <x:v>Not verified</x:v>
      </x:c>
      <x:c r="G20" t="str">
        <x:f>'MASTER_QUEUE'!G20</x:f>
        <x:v>Worcester</x:v>
      </x:c>
      <x:c r="H20" s="8" t="str">
        <x:f>'MASTER_QUEUE'!H20</x:f>
        <x:v>Apollo</x:v>
      </x:c>
      <x:c r="I20" s="8" t="str">
        <x:f>'MASTER_QUEUE'!I20</x:f>
        <x:v>Not Started</x:v>
      </x:c>
      <x:c r="J20" s="8" t="str">
        <x:f>'MASTER_QUEUE'!J20</x:f>
        <x:v>UNKNOWN_HEALTHCARE</x:v>
      </x:c>
      <x:c r="K20" s="7" t="str">
        <x:f>'MASTER_QUEUE'!K20</x:f>
        <x:v>Owner &gt; President &gt; CEO &gt; Executive Director &gt; Workforce Development Director &gt; Clinical Education Director &gt; HR Director</x:v>
      </x:c>
    </x:row>
    <x:row r="21" ht="42" customHeight="1">
      <x:c r="A21" t="str">
        <x:f>'MASTER_QUEUE'!A21</x:f>
        <x:v>Aalanco Service Corp</x:v>
      </x:c>
      <x:c r="B21" t="str">
        <x:f>'MASTER_QUEUE'!B21</x:f>
        <x:v>Commercial HVAC &amp; Mechanical Services</x:v>
      </x:c>
      <x:c r="C21" s="12" t="n">
        <x:f>'MASTER_QUEUE'!C21</x:f>
        <x:v>22</x:v>
      </x:c>
      <x:c r="D21" s="13" t="str">
        <x:f>'MASTER_QUEUE'!D21</x:f>
        <x:v>11-50</x:v>
      </x:c>
      <x:c r="E21" s="7" t="str">
        <x:f>'MASTER_QUEUE'!E21</x:f>
        <x:v>https://www.linkedin.com/company/aalanco-service-corporation</x:v>
      </x:c>
      <x:c r="F21" s="7" t="str">
        <x:f>'MASTER_QUEUE'!F21</x:f>
        <x:v>http://www.aalanco.com</x:v>
      </x:c>
      <x:c r="G21" t="str">
        <x:f>'MASTER_QUEUE'!G21</x:f>
        <x:v>Westborough</x:v>
      </x:c>
      <x:c r="H21" s="8" t="str">
        <x:f>'MASTER_QUEUE'!H21</x:f>
        <x:v>Apollo</x:v>
      </x:c>
      <x:c r="I21" s="8" t="str">
        <x:f>'MASTER_QUEUE'!I21</x:f>
        <x:v>Not Started</x:v>
      </x:c>
      <x:c r="J21" s="8" t="str">
        <x:f>'MASTER_QUEUE'!J21</x:f>
        <x:v>SMALL_CONSTRUCTION_TRADES</x:v>
      </x:c>
      <x:c r="K21" s="7" t="str">
        <x:f>'MASTER_QUEUE'!K21</x:f>
        <x:v>Owner &gt; Founder &gt; Co-Founder &gt; President &gt; CEO &gt; Operations Manager &gt; Safety Manager &gt; Training Manager &gt; HR Manager</x:v>
      </x:c>
    </x:row>
    <x:row r="22" ht="42" customHeight="1">
      <x:c r="A22" t="str">
        <x:f>'MASTER_QUEUE'!A22</x:f>
        <x:v>Aaron Buyack, DMD, PLLC</x:v>
      </x:c>
      <x:c r="B22" t="str">
        <x:f>'MASTER_QUEUE'!B22</x:f>
        <x:v>Dental Services</x:v>
      </x:c>
      <x:c r="C22" s="12" t="str">
        <x:f>'MASTER_QUEUE'!C22</x:f>
        <x:v>Not verified</x:v>
      </x:c>
      <x:c r="D22" s="13" t="str">
        <x:f>'MASTER_QUEUE'!D22</x:f>
        <x:v>Not verified</x:v>
      </x:c>
      <x:c r="E22" s="7" t="str">
        <x:f>'MASTER_QUEUE'!E22</x:f>
        <x:v>Not verified</x:v>
      </x:c>
      <x:c r="F22" s="7" t="str">
        <x:f>'MASTER_QUEUE'!F22</x:f>
        <x:v>Not verified</x:v>
      </x:c>
      <x:c r="G22" t="str">
        <x:f>'MASTER_QUEUE'!G22</x:f>
        <x:v>Pittsfield</x:v>
      </x:c>
      <x:c r="H22" s="8" t="str">
        <x:f>'MASTER_QUEUE'!H22</x:f>
        <x:v>Apollo</x:v>
      </x:c>
      <x:c r="I22" s="8" t="str">
        <x:f>'MASTER_QUEUE'!I22</x:f>
        <x:v>Not Started</x:v>
      </x:c>
      <x:c r="J22" s="8" t="str">
        <x:f>'MASTER_QUEUE'!J22</x:f>
        <x:v>UNKNOWN_HEALTHCARE</x:v>
      </x:c>
      <x:c r="K22" s="7" t="str">
        <x:f>'MASTER_QUEUE'!K22</x:f>
        <x:v>Owner &gt; President &gt; CEO &gt; Executive Director &gt; Workforce Development Director &gt; Clinical Education Director &gt; HR Director</x:v>
      </x:c>
    </x:row>
    <x:row r="23" ht="42" customHeight="1">
      <x:c r="A23" t="str">
        <x:f>'MASTER_QUEUE'!A23</x:f>
        <x:v>Aaron Smith, PC</x:v>
      </x:c>
      <x:c r="B23" t="str">
        <x:f>'MASTER_QUEUE'!B23</x:f>
        <x:v>Accounting &amp; Tax Services</x:v>
      </x:c>
      <x:c r="C23" s="12" t="str">
        <x:f>'MASTER_QUEUE'!C23</x:f>
        <x:v>Not verified</x:v>
      </x:c>
      <x:c r="D23" s="13" t="str">
        <x:f>'MASTER_QUEUE'!D23</x:f>
        <x:v>Not verified</x:v>
      </x:c>
      <x:c r="E23" s="7" t="str">
        <x:f>'MASTER_QUEUE'!E23</x:f>
        <x:v>Not verified</x:v>
      </x:c>
      <x:c r="F23" s="7" t="str">
        <x:f>'MASTER_QUEUE'!F23</x:f>
        <x:v>http://www.aaron-smith-cpa.com</x:v>
      </x:c>
      <x:c r="G23" t="str">
        <x:f>'MASTER_QUEUE'!G23</x:f>
        <x:v>East Longmeadow</x:v>
      </x:c>
      <x:c r="H23" s="8" t="str">
        <x:f>'MASTER_QUEUE'!H23</x:f>
        <x:v>Apollo</x:v>
      </x:c>
      <x:c r="I23" s="8" t="str">
        <x:f>'MASTER_QUEUE'!I23</x:f>
        <x:v>Not Started</x:v>
      </x:c>
      <x:c r="J23" s="8" t="str">
        <x:f>'MASTER_QUEUE'!J23</x:f>
        <x:v>UNKNOWN_FINANCIAL_SERVICES</x:v>
      </x:c>
      <x:c r="K23" s="7" t="str">
        <x:f>'MASTER_QUEUE'!K23</x:f>
        <x:v>Owner &gt; President &gt; CEO &gt; Managing Partner &gt; HR Director &gt; Training Manager &gt; COO</x:v>
      </x:c>
    </x:row>
    <x:row r="24" ht="42" customHeight="1">
      <x:c r="A24" t="str">
        <x:f>'MASTER_QUEUE'!A24</x:f>
        <x:v>Abbott and Company LLC</x:v>
      </x:c>
      <x:c r="B24" t="str">
        <x:f>'MASTER_QUEUE'!B24</x:f>
        <x:v>Accounting &amp; Tax Services</x:v>
      </x:c>
      <x:c r="C24" s="12" t="str">
        <x:f>'MASTER_QUEUE'!C24</x:f>
        <x:v>Not verified</x:v>
      </x:c>
      <x:c r="D24" s="13" t="str">
        <x:f>'MASTER_QUEUE'!D24</x:f>
        <x:v>Not verified</x:v>
      </x:c>
      <x:c r="E24" s="7" t="str">
        <x:f>'MASTER_QUEUE'!E24</x:f>
        <x:v>Not verified</x:v>
      </x:c>
      <x:c r="F24" s="7" t="str">
        <x:f>'MASTER_QUEUE'!F24</x:f>
        <x:v>https://www.abbottandcompany.net</x:v>
      </x:c>
      <x:c r="G24" t="str">
        <x:f>'MASTER_QUEUE'!G24</x:f>
        <x:v>Lexington</x:v>
      </x:c>
      <x:c r="H24" s="8" t="str">
        <x:f>'MASTER_QUEUE'!H24</x:f>
        <x:v>Apollo</x:v>
      </x:c>
      <x:c r="I24" s="8" t="str">
        <x:f>'MASTER_QUEUE'!I24</x:f>
        <x:v>Not Started</x:v>
      </x:c>
      <x:c r="J24" s="8" t="str">
        <x:f>'MASTER_QUEUE'!J24</x:f>
        <x:v>UNKNOWN_FINANCIAL_SERVICES</x:v>
      </x:c>
      <x:c r="K24" s="7" t="str">
        <x:f>'MASTER_QUEUE'!K24</x:f>
        <x:v>Owner &gt; President &gt; CEO &gt; Managing Partner &gt; HR Director &gt; Training Manager &gt; COO</x:v>
      </x:c>
    </x:row>
    <x:row r="25" ht="42" customHeight="1">
      <x:c r="A25" t="str">
        <x:f>'MASTER_QUEUE'!A25</x:f>
        <x:v>Abby Kelley Foster House, Inc.</x:v>
      </x:c>
      <x:c r="B25" t="str">
        <x:f>'MASTER_QUEUE'!B25</x:f>
        <x:v>Nonprofit Housing &amp; Social Services</x:v>
      </x:c>
      <x:c r="C25" s="12" t="n">
        <x:f>'MASTER_QUEUE'!C25</x:f>
        <x:v>69</x:v>
      </x:c>
      <x:c r="D25" s="13" t="str">
        <x:f>'MASTER_QUEUE'!D25</x:f>
        <x:v>11-50</x:v>
      </x:c>
      <x:c r="E25" s="7" t="str">
        <x:f>'MASTER_QUEUE'!E25</x:f>
        <x:v>https://www.linkedin.com/company/abby-s-house</x:v>
      </x:c>
      <x:c r="F25" s="7" t="str">
        <x:f>'MASTER_QUEUE'!F25</x:f>
        <x:v>https://abbyshouse.org/</x:v>
      </x:c>
      <x:c r="G25" t="str">
        <x:f>'MASTER_QUEUE'!G25</x:f>
        <x:v>Worcester</x:v>
      </x:c>
      <x:c r="H25" s="8" t="str">
        <x:f>'MASTER_QUEUE'!H25</x:f>
        <x:v>Apollo</x:v>
      </x:c>
      <x:c r="I25" s="8" t="str">
        <x:f>'MASTER_QUEUE'!I25</x:f>
        <x:v>Not Started</x:v>
      </x:c>
      <x:c r="J25" s="8" t="str">
        <x:f>'MASTER_QUEUE'!J25</x:f>
        <x:v>MID_NONPROFIT_SOCIAL</x:v>
      </x:c>
      <x:c r="K25" s="7" t="str">
        <x:f>'MASTER_QUEUE'!K25</x:f>
        <x:v>Executive Director &gt; Workforce Development Director &gt; Training Director &gt; L&amp;D Director &gt; Operations Director &gt; HR Director</x:v>
      </x:c>
    </x:row>
    <x:row r="26" ht="42" customHeight="1">
      <x:c r="A26" t="str">
        <x:f>'MASTER_QUEUE'!A26</x:f>
        <x:v>Abode Energy Management LLC</x:v>
      </x:c>
      <x:c r="B26" t="str">
        <x:f>'MASTER_QUEUE'!B26</x:f>
        <x:v>Energy Efficiency Consulting</x:v>
      </x:c>
      <x:c r="C26" s="12" t="n">
        <x:f>'MASTER_QUEUE'!C26</x:f>
        <x:v>70</x:v>
      </x:c>
      <x:c r="D26" s="13" t="str">
        <x:f>'MASTER_QUEUE'!D26</x:f>
        <x:v>11-50</x:v>
      </x:c>
      <x:c r="E26" s="7" t="str">
        <x:f>'MASTER_QUEUE'!E26</x:f>
        <x:v>https://www.linkedin.com/company/abode-energy-management</x:v>
      </x:c>
      <x:c r="F26" s="7" t="str">
        <x:f>'MASTER_QUEUE'!F26</x:f>
        <x:v>http://www.AbodeEM.com</x:v>
      </x:c>
      <x:c r="G26" t="str">
        <x:f>'MASTER_QUEUE'!G26</x:f>
        <x:v>Concord</x:v>
      </x:c>
      <x:c r="H26" s="8" t="str">
        <x:f>'MASTER_QUEUE'!H26</x:f>
        <x:v>Apollo</x:v>
      </x:c>
      <x:c r="I26" s="8" t="str">
        <x:f>'MASTER_QUEUE'!I26</x:f>
        <x:v>Not Started</x:v>
      </x:c>
      <x:c r="J26" s="8" t="str">
        <x:f>'MASTER_QUEUE'!J26</x:f>
        <x:v>MID_TECH_PROFESSIONAL</x:v>
      </x:c>
      <x:c r="K26" s="7" t="str">
        <x:f>'MASTER_QUEUE'!K26</x:f>
        <x:v>People Operations Director &gt; HR Director &gt; L&amp;D Manager &gt; Talent Development Manager &gt; Operations Director &gt; Managing Partner &gt; CEO</x:v>
      </x:c>
    </x:row>
    <x:row r="27" ht="42" customHeight="1">
      <x:c r="A27" t="str">
        <x:f>'MASTER_QUEUE'!A27</x:f>
        <x:v>About Fresh, Inc.</x:v>
      </x:c>
      <x:c r="B27" t="str">
        <x:f>'MASTER_QUEUE'!B27</x:f>
        <x:v>Nonprofit &amp; Food Access</x:v>
      </x:c>
      <x:c r="C27" s="12" t="n">
        <x:f>'MASTER_QUEUE'!C27</x:f>
        <x:v>0</x:v>
      </x:c>
      <x:c r="D27" s="13" t="str">
        <x:f>'MASTER_QUEUE'!D27</x:f>
        <x:v>2-10</x:v>
      </x:c>
      <x:c r="E27" s="7" t="str">
        <x:f>'MASTER_QUEUE'!E27</x:f>
        <x:v>https://www.linkedin.com/company/aboutfresh</x:v>
      </x:c>
      <x:c r="F27" s="7" t="str">
        <x:f>'MASTER_QUEUE'!F27</x:f>
        <x:v>http://www.aboutfresh.org</x:v>
      </x:c>
      <x:c r="G27" t="str">
        <x:f>'MASTER_QUEUE'!G27</x:f>
        <x:v>Boston</x:v>
      </x:c>
      <x:c r="H27" s="8" t="str">
        <x:f>'MASTER_QUEUE'!H27</x:f>
        <x:v>Apollo</x:v>
      </x:c>
      <x:c r="I27" s="8" t="str">
        <x:f>'MASTER_QUEUE'!I27</x:f>
        <x:v>Not Started</x:v>
      </x:c>
      <x:c r="J27" s="8" t="str">
        <x:f>'MASTER_QUEUE'!J27</x:f>
        <x:v>SMALL_NONPROFIT_SOCIAL</x:v>
      </x:c>
      <x:c r="K27" s="7" t="str">
        <x:f>'MASTER_QUEUE'!K27</x:f>
        <x:v>Executive Director &gt; Founder &gt; President &gt; CEO &gt; Operations Manager &gt; Workforce Development Director &gt; Training Manager &gt; HR Manager</x:v>
      </x:c>
    </x:row>
    <x:row r="28" ht="42" customHeight="1">
      <x:c r="A28" t="str">
        <x:f>'MASTER_QUEUE'!A28</x:f>
        <x:v>Abside Networks Inc</x:v>
      </x:c>
      <x:c r="B28" t="str">
        <x:f>'MASTER_QUEUE'!B28</x:f>
        <x:v>IT Services &amp; Network Security</x:v>
      </x:c>
      <x:c r="C28" s="12" t="n">
        <x:f>'MASTER_QUEUE'!C28</x:f>
        <x:v>33</x:v>
      </x:c>
      <x:c r="D28" s="13" t="str">
        <x:f>'MASTER_QUEUE'!D28</x:f>
        <x:v>11-50</x:v>
      </x:c>
      <x:c r="E28" s="7" t="str">
        <x:f>'MASTER_QUEUE'!E28</x:f>
        <x:v>https://www.linkedin.com/company/abside-networks-inc.</x:v>
      </x:c>
      <x:c r="F28" s="7" t="str">
        <x:f>'MASTER_QUEUE'!F28</x:f>
        <x:v>http://www.abside-networks.com</x:v>
      </x:c>
      <x:c r="G28" t="str">
        <x:f>'MASTER_QUEUE'!G28</x:f>
        <x:v>Acton</x:v>
      </x:c>
      <x:c r="H28" s="8" t="str">
        <x:f>'MASTER_QUEUE'!H28</x:f>
        <x:v>Apollo</x:v>
      </x:c>
      <x:c r="I28" s="8" t="str">
        <x:f>'MASTER_QUEUE'!I28</x:f>
        <x:v>Not Started</x:v>
      </x:c>
      <x:c r="J28" s="8" t="str">
        <x:f>'MASTER_QUEUE'!J28</x:f>
        <x:v>SMALL_TECH_PROFESSIONAL</x:v>
      </x:c>
      <x:c r="K28" s="7" t="str">
        <x:f>'MASTER_QUEUE'!K28</x:f>
        <x:v>Owner &gt; Founder &gt; Co-Founder &gt; President &gt; CEO &gt; Managing Partner &gt; COO &gt; People Operations Manager &gt; HR Manager</x:v>
      </x:c>
    </x:row>
    <x:row r="29" ht="42" customHeight="1">
      <x:c r="A29" t="str">
        <x:f>'MASTER_QUEUE'!A29</x:f>
        <x:v>Absolute Metal Finishing, Inc.</x:v>
      </x:c>
      <x:c r="B29" t="str">
        <x:f>'MASTER_QUEUE'!B29</x:f>
        <x:v>Metal Finishing</x:v>
      </x:c>
      <x:c r="C29" s="12" t="n">
        <x:f>'MASTER_QUEUE'!C29</x:f>
        <x:v>23</x:v>
      </x:c>
      <x:c r="D29" s="13" t="str">
        <x:f>'MASTER_QUEUE'!D29</x:f>
        <x:v>11-50</x:v>
      </x:c>
      <x:c r="E29" s="7" t="str">
        <x:f>'MASTER_QUEUE'!E29</x:f>
        <x:v>https://www.linkedin.com/company/absolute-metal-finishing-inc</x:v>
      </x:c>
      <x:c r="F29" s="7" t="str">
        <x:f>'MASTER_QUEUE'!F29</x:f>
        <x:v>http://www.absolutemetal.com/</x:v>
      </x:c>
      <x:c r="G29" t="str">
        <x:f>'MASTER_QUEUE'!G29</x:f>
        <x:v>Norwood</x:v>
      </x:c>
      <x:c r="H29" s="8" t="str">
        <x:f>'MASTER_QUEUE'!H29</x:f>
        <x:v>Apollo</x:v>
      </x:c>
      <x:c r="I29" s="8" t="str">
        <x:f>'MASTER_QUEUE'!I29</x:f>
        <x:v>Not Started</x:v>
      </x:c>
      <x:c r="J29" s="8" t="str">
        <x:f>'MASTER_QUEUE'!J29</x:f>
        <x:v>SMALL_MANUFACTURING</x:v>
      </x:c>
      <x:c r="K29" s="7" t="str">
        <x:f>'MASTER_QUEUE'!K29</x:f>
        <x:v>Owner &gt; Founder &gt; Co-Founder &gt; President &gt; CEO &gt; Plant Manager &gt; Operations Manager &gt; Training Manager &gt; HR Manager</x:v>
      </x:c>
    </x:row>
    <x:row r="30" ht="42" customHeight="1">
      <x:c r="A30" t="str">
        <x:f>'MASTER_QUEUE'!A30</x:f>
        <x:v>Abundant Housing Massachusetts Inc</x:v>
      </x:c>
      <x:c r="B30" t="str">
        <x:f>'MASTER_QUEUE'!B30</x:f>
        <x:v>Nonprofit Housing Advocacy</x:v>
      </x:c>
      <x:c r="C30" s="12" t="n">
        <x:f>'MASTER_QUEUE'!C30</x:f>
        <x:v>0</x:v>
      </x:c>
      <x:c r="D30" s="13" t="str">
        <x:f>'MASTER_QUEUE'!D30</x:f>
        <x:v>1 employee</x:v>
      </x:c>
      <x:c r="E30" s="7" t="str">
        <x:f>'MASTER_QUEUE'!E30</x:f>
        <x:v>https://www.linkedin.com/company/abundant-housing-ma</x:v>
      </x:c>
      <x:c r="F30" s="7" t="str">
        <x:f>'MASTER_QUEUE'!F30</x:f>
        <x:v>https://abundanthousingma.org/</x:v>
      </x:c>
      <x:c r="G30" t="str">
        <x:f>'MASTER_QUEUE'!G30</x:f>
        <x:v>Boston</x:v>
      </x:c>
      <x:c r="H30" s="8" t="str">
        <x:f>'MASTER_QUEUE'!H30</x:f>
        <x:v>Apollo</x:v>
      </x:c>
      <x:c r="I30" s="8" t="str">
        <x:f>'MASTER_QUEUE'!I30</x:f>
        <x:v>Not Started</x:v>
      </x:c>
      <x:c r="J30" s="8" t="str">
        <x:f>'MASTER_QUEUE'!J30</x:f>
        <x:v>SMALL_NONPROFIT_SOCIAL</x:v>
      </x:c>
      <x:c r="K30" s="7" t="str">
        <x:f>'MASTER_QUEUE'!K30</x:f>
        <x:v>Executive Director &gt; Founder &gt; President &gt; CEO &gt; Operations Manager &gt; Workforce Development Director &gt; Training Manager &gt; HR Manager</x:v>
      </x:c>
    </x:row>
    <x:row r="31" ht="42" customHeight="1">
      <x:c r="A31" t="str">
        <x:f>'MASTER_QUEUE'!A31</x:f>
        <x:v>Academy Fulfillment LLC</x:v>
      </x:c>
      <x:c r="B31" t="str">
        <x:f>'MASTER_QUEUE'!B31</x:f>
        <x:v>Fulfillment &amp; Logistics</x:v>
      </x:c>
      <x:c r="C31" s="12" t="str">
        <x:f>'MASTER_QUEUE'!C31</x:f>
        <x:v>Not verified</x:v>
      </x:c>
      <x:c r="D31" s="13" t="str">
        <x:f>'MASTER_QUEUE'!D31</x:f>
        <x:v>Not verified</x:v>
      </x:c>
      <x:c r="E31" s="7" t="str">
        <x:f>'MASTER_QUEUE'!E31</x:f>
        <x:v>Not verified</x:v>
      </x:c>
      <x:c r="F31" s="7" t="str">
        <x:f>'MASTER_QUEUE'!F31</x:f>
        <x:v>Not verified</x:v>
      </x:c>
      <x:c r="G31" t="str">
        <x:f>'MASTER_QUEUE'!G31</x:f>
        <x:v>Sandwich</x:v>
      </x:c>
      <x:c r="H31" s="8" t="str">
        <x:f>'MASTER_QUEUE'!H31</x:f>
        <x:v>Apollo</x:v>
      </x:c>
      <x:c r="I31" s="8" t="str">
        <x:f>'MASTER_QUEUE'!I31</x:f>
        <x:v>Not Started</x:v>
      </x:c>
      <x:c r="J31" s="8" t="str">
        <x:f>'MASTER_QUEUE'!J31</x:f>
        <x:v>UNKNOWN_LOGISTICS_OPERATIONS</x:v>
      </x:c>
      <x:c r="K31" s="7" t="str">
        <x:f>'MASTER_QUEUE'!K31</x:f>
        <x:v>Owner &gt; President &gt; CEO &gt; General Manager &gt; Operations Director &gt; Training Manager &gt; Safety Manager &gt; HR Director</x:v>
      </x:c>
    </x:row>
    <x:row r="32" ht="42" customHeight="1">
      <x:c r="A32" t="str">
        <x:f>'MASTER_QUEUE'!A32</x:f>
        <x:v>Acadia Management Co. Inc.</x:v>
      </x:c>
      <x:c r="B32" t="str">
        <x:f>'MASTER_QUEUE'!B32</x:f>
        <x:v>Property Management</x:v>
      </x:c>
      <x:c r="C32" s="12" t="str">
        <x:f>'MASTER_QUEUE'!C32</x:f>
        <x:v>Not verified</x:v>
      </x:c>
      <x:c r="D32" s="13" t="str">
        <x:f>'MASTER_QUEUE'!D32</x:f>
        <x:v>Not verified</x:v>
      </x:c>
      <x:c r="E32" s="7" t="str">
        <x:f>'MASTER_QUEUE'!E32</x:f>
        <x:v>Not verified</x:v>
      </x:c>
      <x:c r="F32" s="7" t="str">
        <x:f>'MASTER_QUEUE'!F32</x:f>
        <x:v>Not verified</x:v>
      </x:c>
      <x:c r="G32" t="str">
        <x:f>'MASTER_QUEUE'!G32</x:f>
        <x:v>Boston</x:v>
      </x:c>
      <x:c r="H32" s="8" t="str">
        <x:f>'MASTER_QUEUE'!H32</x:f>
        <x:v>Apollo</x:v>
      </x:c>
      <x:c r="I32" s="8" t="str">
        <x:f>'MASTER_QUEUE'!I32</x:f>
        <x:v>Not Started</x:v>
      </x:c>
      <x:c r="J32" s="8" t="str">
        <x:f>'MASTER_QUEUE'!J32</x:f>
        <x:v>UNKNOWN_REAL_ESTATE_FACILITIES</x:v>
      </x:c>
      <x:c r="K32" s="7" t="str">
        <x:f>'MASTER_QUEUE'!K32</x:f>
        <x:v>Owner &gt; President &gt; CEO &gt; Property Manager &gt; Facilities Director &gt; Operations Director &gt; HR Director</x:v>
      </x:c>
    </x:row>
    <x:row r="33" ht="42" customHeight="1">
      <x:c r="A33" t="str">
        <x:f>'MASTER_QUEUE'!A33</x:f>
        <x:v>Accent Therapeutics, Inc.</x:v>
      </x:c>
      <x:c r="B33" t="str">
        <x:f>'MASTER_QUEUE'!B33</x:f>
        <x:v>Biotechnology</x:v>
      </x:c>
      <x:c r="C33" s="12" t="n">
        <x:f>'MASTER_QUEUE'!C33</x:f>
        <x:v>31</x:v>
      </x:c>
      <x:c r="D33" s="13" t="str">
        <x:f>'MASTER_QUEUE'!D33</x:f>
        <x:v>11-50</x:v>
      </x:c>
      <x:c r="E33" s="7" t="str">
        <x:f>'MASTER_QUEUE'!E33</x:f>
        <x:v>https://www.linkedin.com/company/accenttherapeutics</x:v>
      </x:c>
      <x:c r="F33" s="7" t="str">
        <x:f>'MASTER_QUEUE'!F33</x:f>
        <x:v>http://www.accenttx.com</x:v>
      </x:c>
      <x:c r="G33" t="str">
        <x:f>'MASTER_QUEUE'!G33</x:f>
        <x:v>Lexington</x:v>
      </x:c>
      <x:c r="H33" s="8" t="str">
        <x:f>'MASTER_QUEUE'!H33</x:f>
        <x:v>Apollo</x:v>
      </x:c>
      <x:c r="I33" s="8" t="str">
        <x:f>'MASTER_QUEUE'!I33</x:f>
        <x:v>Not Started</x:v>
      </x:c>
      <x:c r="J33" s="8" t="str">
        <x:f>'MASTER_QUEUE'!J33</x:f>
        <x:v>SMALL_TECH_PROFESSIONAL</x:v>
      </x:c>
      <x:c r="K33" s="7" t="str">
        <x:f>'MASTER_QUEUE'!K33</x:f>
        <x:v>Owner &gt; Founder &gt; Co-Founder &gt; President &gt; CEO &gt; Managing Partner &gt; COO &gt; People Operations Manager &gt; HR Manager</x:v>
      </x:c>
    </x:row>
    <x:row r="34" ht="42" customHeight="1">
      <x:c r="A34" t="str">
        <x:f>'MASTER_QUEUE'!A34</x:f>
        <x:v>Accountable Care Transactions Inc</x:v>
      </x:c>
      <x:c r="B34" t="str">
        <x:f>'MASTER_QUEUE'!B34</x:f>
        <x:v>Healthcare Technology &amp; Care Management</x:v>
      </x:c>
      <x:c r="C34" s="12" t="str">
        <x:f>'MASTER_QUEUE'!C34</x:f>
        <x:v>Not verified</x:v>
      </x:c>
      <x:c r="D34" s="13" t="str">
        <x:f>'MASTER_QUEUE'!D34</x:f>
        <x:v>Not verified</x:v>
      </x:c>
      <x:c r="E34" s="7" t="str">
        <x:f>'MASTER_QUEUE'!E34</x:f>
        <x:v>Not verified</x:v>
      </x:c>
      <x:c r="F34" s="7" t="str">
        <x:f>'MASTER_QUEUE'!F34</x:f>
        <x:v>Not verified</x:v>
      </x:c>
      <x:c r="G34" t="str">
        <x:f>'MASTER_QUEUE'!G34</x:f>
        <x:v>Boston</x:v>
      </x:c>
      <x:c r="H34" s="8" t="str">
        <x:f>'MASTER_QUEUE'!H34</x:f>
        <x:v>Apollo</x:v>
      </x:c>
      <x:c r="I34" s="8" t="str">
        <x:f>'MASTER_QUEUE'!I34</x:f>
        <x:v>Not Started</x:v>
      </x:c>
      <x:c r="J34" s="8" t="str">
        <x:f>'MASTER_QUEUE'!J34</x:f>
        <x:v>UNKNOWN_HEALTHCARE</x:v>
      </x:c>
      <x:c r="K34" s="7" t="str">
        <x:f>'MASTER_QUEUE'!K34</x:f>
        <x:v>Owner &gt; President &gt; CEO &gt; Executive Director &gt; Workforce Development Director &gt; Clinical Education Director &gt; HR Director</x:v>
      </x:c>
    </x:row>
    <x:row r="35" ht="42" customHeight="1">
      <x:c r="A35" t="str">
        <x:f>'MASTER_QUEUE'!A35</x:f>
        <x:v>Accountaides Inc</x:v>
      </x:c>
      <x:c r="B35" t="str">
        <x:f>'MASTER_QUEUE'!B35</x:f>
        <x:v>Accounting &amp; Bookkeeping</x:v>
      </x:c>
      <x:c r="C35" s="12" t="str">
        <x:f>'MASTER_QUEUE'!C35</x:f>
        <x:v>Not verified</x:v>
      </x:c>
      <x:c r="D35" s="13" t="str">
        <x:f>'MASTER_QUEUE'!D35</x:f>
        <x:v>Not verified</x:v>
      </x:c>
      <x:c r="E35" s="7" t="str">
        <x:f>'MASTER_QUEUE'!E35</x:f>
        <x:v>Not verified</x:v>
      </x:c>
      <x:c r="F35" s="7" t="str">
        <x:f>'MASTER_QUEUE'!F35</x:f>
        <x:v>Not verified</x:v>
      </x:c>
      <x:c r="G35" t="str">
        <x:f>'MASTER_QUEUE'!G35</x:f>
        <x:v>West Springfield</x:v>
      </x:c>
      <x:c r="H35" s="8" t="str">
        <x:f>'MASTER_QUEUE'!H35</x:f>
        <x:v>Apollo</x:v>
      </x:c>
      <x:c r="I35" s="8" t="str">
        <x:f>'MASTER_QUEUE'!I35</x:f>
        <x:v>Not Started</x:v>
      </x:c>
      <x:c r="J35" s="8" t="str">
        <x:f>'MASTER_QUEUE'!J35</x:f>
        <x:v>UNKNOWN_FINANCIAL_SERVICES</x:v>
      </x:c>
      <x:c r="K35" s="7" t="str">
        <x:f>'MASTER_QUEUE'!K35</x:f>
        <x:v>Owner &gt; President &gt; CEO &gt; Managing Partner &gt; HR Director &gt; Training Manager &gt; COO</x:v>
      </x:c>
    </x:row>
    <x:row r="36" ht="42" customHeight="1">
      <x:c r="A36" t="str">
        <x:f>'MASTER_QUEUE'!A36</x:f>
        <x:v>AccounTax Associates LLC</x:v>
      </x:c>
      <x:c r="B36" t="str">
        <x:f>'MASTER_QUEUE'!B36</x:f>
        <x:v>Accounting &amp; Tax Services</x:v>
      </x:c>
      <x:c r="C36" s="12" t="n">
        <x:f>'MASTER_QUEUE'!C36</x:f>
        <x:v>3</x:v>
      </x:c>
      <x:c r="D36" s="13" t="str">
        <x:f>'MASTER_QUEUE'!D36</x:f>
        <x:v>2-10</x:v>
      </x:c>
      <x:c r="E36" s="7" t="str">
        <x:f>'MASTER_QUEUE'!E36</x:f>
        <x:v>https://www.linkedin.com/company/accountaxassociates-llc</x:v>
      </x:c>
      <x:c r="F36" s="7" t="str">
        <x:f>'MASTER_QUEUE'!F36</x:f>
        <x:v>http://www.accountaxllc.net/</x:v>
      </x:c>
      <x:c r="G36" t="str">
        <x:f>'MASTER_QUEUE'!G36</x:f>
        <x:v>Chelmsford</x:v>
      </x:c>
      <x:c r="H36" s="8" t="str">
        <x:f>'MASTER_QUEUE'!H36</x:f>
        <x:v>Apollo</x:v>
      </x:c>
      <x:c r="I36" s="8" t="str">
        <x:f>'MASTER_QUEUE'!I36</x:f>
        <x:v>Not Started</x:v>
      </x:c>
      <x:c r="J36" s="8" t="str">
        <x:f>'MASTER_QUEUE'!J36</x:f>
        <x:v>SMALL_FINANCIAL_SERVICES</x:v>
      </x:c>
      <x:c r="K36" s="7" t="str">
        <x:f>'MASTER_QUEUE'!K36</x:f>
        <x:v>Owner &gt; Founder &gt; Co-Founder &gt; President &gt; CEO &gt; Managing Partner &gt; COO &gt; HR Manager &gt; Training Manager</x:v>
      </x:c>
    </x:row>
    <x:row r="37" ht="42" customHeight="1">
      <x:c r="A37" t="str">
        <x:f>'MASTER_QUEUE'!A37</x:f>
        <x:v>Accumet Engineering Inc.</x:v>
      </x:c>
      <x:c r="B37" t="str">
        <x:f>'MASTER_QUEUE'!B37</x:f>
        <x:v>Precision Manufacturing &amp; Laser Services</x:v>
      </x:c>
      <x:c r="C37" s="12" t="n">
        <x:f>'MASTER_QUEUE'!C37</x:f>
        <x:v>36</x:v>
      </x:c>
      <x:c r="D37" s="13" t="str">
        <x:f>'MASTER_QUEUE'!D37</x:f>
        <x:v>51-200</x:v>
      </x:c>
      <x:c r="E37" s="7" t="str">
        <x:f>'MASTER_QUEUE'!E37</x:f>
        <x:v>https://www.linkedin.com/company/laser-services-inc-</x:v>
      </x:c>
      <x:c r="F37" s="7" t="str">
        <x:f>'MASTER_QUEUE'!F37</x:f>
        <x:v>https://www.accumet.com/</x:v>
      </x:c>
      <x:c r="G37" t="str">
        <x:f>'MASTER_QUEUE'!G37</x:f>
        <x:v>Devens</x:v>
      </x:c>
      <x:c r="H37" s="8" t="str">
        <x:f>'MASTER_QUEUE'!H37</x:f>
        <x:v>Apollo</x:v>
      </x:c>
      <x:c r="I37" s="8" t="str">
        <x:f>'MASTER_QUEUE'!I37</x:f>
        <x:v>Not Started</x:v>
      </x:c>
      <x:c r="J37" s="8" t="str">
        <x:f>'MASTER_QUEUE'!J37</x:f>
        <x:v>MID_MANUFACTURING</x:v>
      </x:c>
      <x:c r="K37" s="7" t="str">
        <x:f>'MASTER_QUEUE'!K37</x:f>
        <x:v>Plant Manager &gt; Operations Director &gt; HR Director &gt; Training Manager &gt; Safety Manager &gt; President &gt; CEO</x:v>
      </x:c>
    </x:row>
    <x:row r="38" ht="42" customHeight="1">
      <x:c r="A38" t="str">
        <x:f>'MASTER_QUEUE'!A38</x:f>
        <x:v>ACCURATE MEDICAL COOLING INC</x:v>
      </x:c>
      <x:c r="B38" t="str">
        <x:f>'MASTER_QUEUE'!B38</x:f>
        <x:v>Medical HVAC &amp; Cooling Services</x:v>
      </x:c>
      <x:c r="C38" s="12" t="str">
        <x:f>'MASTER_QUEUE'!C38</x:f>
        <x:v>Not verified</x:v>
      </x:c>
      <x:c r="D38" s="13" t="str">
        <x:f>'MASTER_QUEUE'!D38</x:f>
        <x:v>Not verified</x:v>
      </x:c>
      <x:c r="E38" s="7" t="str">
        <x:f>'MASTER_QUEUE'!E38</x:f>
        <x:v>Not verified</x:v>
      </x:c>
      <x:c r="F38" s="7" t="str">
        <x:f>'MASTER_QUEUE'!F38</x:f>
        <x:v>https://accuratemedicalcooling.com/</x:v>
      </x:c>
      <x:c r="G38" t="str">
        <x:f>'MASTER_QUEUE'!G38</x:f>
        <x:v>North Brookfield</x:v>
      </x:c>
      <x:c r="H38" s="8" t="str">
        <x:f>'MASTER_QUEUE'!H38</x:f>
        <x:v>Apollo</x:v>
      </x:c>
      <x:c r="I38" s="8" t="str">
        <x:f>'MASTER_QUEUE'!I38</x:f>
        <x:v>Not Started</x:v>
      </x:c>
      <x:c r="J38" s="8" t="str">
        <x:f>'MASTER_QUEUE'!J38</x:f>
        <x:v>UNKNOWN_CONSTRUCTION_TRADES</x:v>
      </x:c>
      <x:c r="K38" s="7" t="str">
        <x:f>'MASTER_QUEUE'!K38</x:f>
        <x:v>Owner &gt; President &gt; CEO &gt; Operations Director &gt; Safety Manager &gt; Training Manager &gt; HR Director</x:v>
      </x:c>
    </x:row>
    <x:row r="39" ht="42" customHeight="1">
      <x:c r="A39" t="str">
        <x:f>'MASTER_QUEUE'!A39</x:f>
        <x:v>Accutech Packaging, Inc.</x:v>
      </x:c>
      <x:c r="B39" t="str">
        <x:f>'MASTER_QUEUE'!B39</x:f>
        <x:v>Packaging Equipment Manufacturing</x:v>
      </x:c>
      <x:c r="C39" s="12" t="n">
        <x:f>'MASTER_QUEUE'!C39</x:f>
        <x:v>84</x:v>
      </x:c>
      <x:c r="D39" s="13" t="str">
        <x:f>'MASTER_QUEUE'!D39</x:f>
        <x:v>51-200</x:v>
      </x:c>
      <x:c r="E39" s="7" t="str">
        <x:f>'MASTER_QUEUE'!E39</x:f>
        <x:v>https://www.linkedin.com/company/accutech-packaging</x:v>
      </x:c>
      <x:c r="F39" s="7" t="str">
        <x:f>'MASTER_QUEUE'!F39</x:f>
        <x:v>http://www.accutechpkg.com</x:v>
      </x:c>
      <x:c r="G39" t="str">
        <x:f>'MASTER_QUEUE'!G39</x:f>
        <x:v>Foxborough</x:v>
      </x:c>
      <x:c r="H39" s="8" t="str">
        <x:f>'MASTER_QUEUE'!H39</x:f>
        <x:v>Apollo</x:v>
      </x:c>
      <x:c r="I39" s="8" t="str">
        <x:f>'MASTER_QUEUE'!I39</x:f>
        <x:v>Not Started</x:v>
      </x:c>
      <x:c r="J39" s="8" t="str">
        <x:f>'MASTER_QUEUE'!J39</x:f>
        <x:v>MID_MANUFACTURING</x:v>
      </x:c>
      <x:c r="K39" s="7" t="str">
        <x:f>'MASTER_QUEUE'!K39</x:f>
        <x:v>Plant Manager &gt; Operations Director &gt; HR Director &gt; Training Manager &gt; Safety Manager &gt; President &gt; CEO</x:v>
      </x:c>
    </x:row>
    <x:row r="40" ht="42" customHeight="1">
      <x:c r="A40" t="str">
        <x:f>'MASTER_QUEUE'!A40</x:f>
        <x:v>Accutronics LLC</x:v>
      </x:c>
      <x:c r="B40" t="str">
        <x:f>'MASTER_QUEUE'!B40</x:f>
        <x:v>Electronics Manufacturing</x:v>
      </x:c>
      <x:c r="C40" s="12" t="str">
        <x:f>'MASTER_QUEUE'!C40</x:f>
        <x:v>Not verified</x:v>
      </x:c>
      <x:c r="D40" s="13" t="str">
        <x:f>'MASTER_QUEUE'!D40</x:f>
        <x:v>Not verified</x:v>
      </x:c>
      <x:c r="E40" s="7" t="str">
        <x:f>'MASTER_QUEUE'!E40</x:f>
        <x:v>Not verified</x:v>
      </x:c>
      <x:c r="F40" s="7" t="str">
        <x:f>'MASTER_QUEUE'!F40</x:f>
        <x:v>Not verified</x:v>
      </x:c>
      <x:c r="G40" t="str">
        <x:f>'MASTER_QUEUE'!G40</x:f>
        <x:v>Chelmsford</x:v>
      </x:c>
      <x:c r="H40" s="8" t="str">
        <x:f>'MASTER_QUEUE'!H40</x:f>
        <x:v>Apollo</x:v>
      </x:c>
      <x:c r="I40" s="8" t="str">
        <x:f>'MASTER_QUEUE'!I40</x:f>
        <x:v>Not Started</x:v>
      </x:c>
      <x:c r="J40" s="8" t="str">
        <x:f>'MASTER_QUEUE'!J40</x:f>
        <x:v>UNKNOWN_MANUFACTURING</x:v>
      </x:c>
      <x:c r="K40" s="7" t="str">
        <x:f>'MASTER_QUEUE'!K40</x:f>
        <x:v>Owner &gt; President &gt; CEO &gt; Plant Manager &gt; Operations Director &gt; Training Manager &gt; HR Director</x:v>
      </x:c>
    </x:row>
    <x:row r="41" ht="42" customHeight="1">
      <x:c r="A41" t="str">
        <x:f>'MASTER_QUEUE'!A41</x:f>
        <x:v>Aclarity Inc.</x:v>
      </x:c>
      <x:c r="B41" t="str">
        <x:f>'MASTER_QUEUE'!B41</x:f>
        <x:v>Water Treatment Technology</x:v>
      </x:c>
      <x:c r="C41" s="12" t="n">
        <x:f>'MASTER_QUEUE'!C41</x:f>
        <x:v>0</x:v>
      </x:c>
      <x:c r="D41" s="13" t="str">
        <x:f>'MASTER_QUEUE'!D41</x:f>
        <x:v>11-50</x:v>
      </x:c>
      <x:c r="E41" s="7" t="str">
        <x:f>'MASTER_QUEUE'!E41</x:f>
        <x:v>https://www.linkedin.com/company/aclaritywater</x:v>
      </x:c>
      <x:c r="F41" s="7" t="str">
        <x:f>'MASTER_QUEUE'!F41</x:f>
        <x:v>http://aclaritywater.com</x:v>
      </x:c>
      <x:c r="G41" t="str">
        <x:f>'MASTER_QUEUE'!G41</x:f>
        <x:v>Medway</x:v>
      </x:c>
      <x:c r="H41" s="8" t="str">
        <x:f>'MASTER_QUEUE'!H41</x:f>
        <x:v>Apollo</x:v>
      </x:c>
      <x:c r="I41" s="8" t="str">
        <x:f>'MASTER_QUEUE'!I41</x:f>
        <x:v>Not Started</x:v>
      </x:c>
      <x:c r="J41" s="8" t="str">
        <x:f>'MASTER_QUEUE'!J41</x:f>
        <x:v>SMALL_TECH_PROFESSIONAL</x:v>
      </x:c>
      <x:c r="K41" s="7" t="str">
        <x:f>'MASTER_QUEUE'!K41</x:f>
        <x:v>Owner &gt; Founder &gt; Co-Founder &gt; President &gt; CEO &gt; Managing Partner &gt; COO &gt; People Operations Manager &gt; HR Manager</x:v>
      </x:c>
    </x:row>
    <x:row r="42" ht="42" customHeight="1">
      <x:c r="A42" t="str">
        <x:f>'MASTER_QUEUE'!A42</x:f>
        <x:v>ACNS Acquisition, LLC</x:v>
      </x:c>
      <x:c r="B42" t="str">
        <x:f>'MASTER_QUEUE'!B42</x:f>
        <x:v>Holding Company</x:v>
      </x:c>
      <x:c r="C42" s="12" t="str">
        <x:f>'MASTER_QUEUE'!C42</x:f>
        <x:v>Not verified</x:v>
      </x:c>
      <x:c r="D42" s="13" t="str">
        <x:f>'MASTER_QUEUE'!D42</x:f>
        <x:v>Not verified</x:v>
      </x:c>
      <x:c r="E42" s="7" t="str">
        <x:f>'MASTER_QUEUE'!E42</x:f>
        <x:v>Not verified</x:v>
      </x:c>
      <x:c r="F42" s="7" t="str">
        <x:f>'MASTER_QUEUE'!F42</x:f>
        <x:v>Not verified</x:v>
      </x:c>
      <x:c r="G42" t="str">
        <x:f>'MASTER_QUEUE'!G42</x:f>
        <x:v>North Attleborough</x:v>
      </x:c>
      <x:c r="H42" s="8" t="str">
        <x:f>'MASTER_QUEUE'!H42</x:f>
        <x:v>Apollo</x:v>
      </x:c>
      <x:c r="I42" s="8" t="str">
        <x:f>'MASTER_QUEUE'!I42</x:f>
        <x:v>Not Started</x:v>
      </x:c>
      <x:c r="J42" s="8" t="str">
        <x:f>'MASTER_QUEUE'!J42</x:f>
        <x:v>UNKNOWN_GENERAL_BUSINESS</x:v>
      </x:c>
      <x:c r="K42" s="7" t="str">
        <x:f>'MASTER_QUEUE'!K42</x:f>
        <x:v>Owner &gt; Founder &gt; Co-Founder &gt; President &gt; CEO &gt; HR Director &gt; Training Manager &gt; Operations Director</x:v>
      </x:c>
    </x:row>
    <x:row r="43" ht="42" customHeight="1">
      <x:c r="A43" t="str">
        <x:f>'MASTER_QUEUE'!A43</x:f>
        <x:v>Acoustic Wells Inc</x:v>
      </x:c>
      <x:c r="B43" t="str">
        <x:f>'MASTER_QUEUE'!B43</x:f>
        <x:v>Industrial IoT &amp; Energy Technology</x:v>
      </x:c>
      <x:c r="C43" s="12" t="n">
        <x:f>'MASTER_QUEUE'!C43</x:f>
        <x:v>0</x:v>
      </x:c>
      <x:c r="D43" s="13" t="str">
        <x:f>'MASTER_QUEUE'!D43</x:f>
        <x:v>11-50</x:v>
      </x:c>
      <x:c r="E43" s="7" t="str">
        <x:f>'MASTER_QUEUE'!E43</x:f>
        <x:v>https://www.linkedin.com/company/amplifiedindustries</x:v>
      </x:c>
      <x:c r="F43" s="7" t="str">
        <x:f>'MASTER_QUEUE'!F43</x:f>
        <x:v>https://amplified.industries</x:v>
      </x:c>
      <x:c r="G43" t="str">
        <x:f>'MASTER_QUEUE'!G43</x:f>
        <x:v>Boston</x:v>
      </x:c>
      <x:c r="H43" s="8" t="str">
        <x:f>'MASTER_QUEUE'!H43</x:f>
        <x:v>Apollo</x:v>
      </x:c>
      <x:c r="I43" s="8" t="str">
        <x:f>'MASTER_QUEUE'!I43</x:f>
        <x:v>Not Started</x:v>
      </x:c>
      <x:c r="J43" s="8" t="str">
        <x:f>'MASTER_QUEUE'!J43</x:f>
        <x:v>SMALL_TECH_PROFESSIONAL</x:v>
      </x:c>
      <x:c r="K43" s="7" t="str">
        <x:f>'MASTER_QUEUE'!K43</x:f>
        <x:v>Owner &gt; Founder &gt; Co-Founder &gt; President &gt; CEO &gt; Managing Partner &gt; COO &gt; People Operations Manager &gt; HR Manager</x:v>
      </x:c>
    </x:row>
    <x:row r="44" ht="42" customHeight="1">
      <x:c r="A44" t="str">
        <x:f>'MASTER_QUEUE'!A44</x:f>
        <x:v>Acrivon Therapeutics Inc.</x:v>
      </x:c>
      <x:c r="B44" t="str">
        <x:f>'MASTER_QUEUE'!B44</x:f>
        <x:v>Biotechnology</x:v>
      </x:c>
      <x:c r="C44" s="12" t="n">
        <x:f>'MASTER_QUEUE'!C44</x:f>
        <x:v>79</x:v>
      </x:c>
      <x:c r="D44" s="13" t="str">
        <x:f>'MASTER_QUEUE'!D44</x:f>
        <x:v>11-50</x:v>
      </x:c>
      <x:c r="E44" s="7" t="str">
        <x:f>'MASTER_QUEUE'!E44</x:f>
        <x:v>https://www.linkedin.com/company/acrivon</x:v>
      </x:c>
      <x:c r="F44" s="7" t="str">
        <x:f>'MASTER_QUEUE'!F44</x:f>
        <x:v>https://acrivon.com</x:v>
      </x:c>
      <x:c r="G44" t="str">
        <x:f>'MASTER_QUEUE'!G44</x:f>
        <x:v>Watertown</x:v>
      </x:c>
      <x:c r="H44" s="8" t="str">
        <x:f>'MASTER_QUEUE'!H44</x:f>
        <x:v>Apollo</x:v>
      </x:c>
      <x:c r="I44" s="8" t="str">
        <x:f>'MASTER_QUEUE'!I44</x:f>
        <x:v>Not Started</x:v>
      </x:c>
      <x:c r="J44" s="8" t="str">
        <x:f>'MASTER_QUEUE'!J44</x:f>
        <x:v>MID_TECH_PROFESSIONAL</x:v>
      </x:c>
      <x:c r="K44" s="7" t="str">
        <x:f>'MASTER_QUEUE'!K44</x:f>
        <x:v>People Operations Director &gt; HR Director &gt; L&amp;D Manager &gt; Talent Development Manager &gt; Operations Director &gt; Managing Partner &gt; CEO</x:v>
      </x:c>
    </x:row>
    <x:row r="45" ht="42" customHeight="1">
      <x:c r="A45" t="str">
        <x:f>'MASTER_QUEUE'!A45</x:f>
        <x:v>Acropolis Design Consultants Inc.</x:v>
      </x:c>
      <x:c r="B45" t="str">
        <x:f>'MASTER_QUEUE'!B45</x:f>
        <x:v>Architecture &amp; Interior Design</x:v>
      </x:c>
      <x:c r="C45" s="12" t="str">
        <x:f>'MASTER_QUEUE'!C45</x:f>
        <x:v>Not verified</x:v>
      </x:c>
      <x:c r="D45" s="13" t="str">
        <x:f>'MASTER_QUEUE'!D45</x:f>
        <x:v>Not verified</x:v>
      </x:c>
      <x:c r="E45" s="7" t="str">
        <x:f>'MASTER_QUEUE'!E45</x:f>
        <x:v>Not verified</x:v>
      </x:c>
      <x:c r="F45" s="7" t="str">
        <x:f>'MASTER_QUEUE'!F45</x:f>
        <x:v>https://www.acropolisdesign.org/</x:v>
      </x:c>
      <x:c r="G45" t="str">
        <x:f>'MASTER_QUEUE'!G45</x:f>
        <x:v>Worcester</x:v>
      </x:c>
      <x:c r="H45" s="8" t="str">
        <x:f>'MASTER_QUEUE'!H45</x:f>
        <x:v>Apollo</x:v>
      </x:c>
      <x:c r="I45" s="8" t="str">
        <x:f>'MASTER_QUEUE'!I45</x:f>
        <x:v>Not Started</x:v>
      </x:c>
      <x:c r="J45" s="8" t="str">
        <x:f>'MASTER_QUEUE'!J45</x:f>
        <x:v>UNKNOWN_TECH_PROFESSIONAL</x:v>
      </x:c>
      <x:c r="K45" s="7" t="str">
        <x:f>'MASTER_QUEUE'!K45</x:f>
        <x:v>Owner &gt; Founder &gt; Co-Founder &gt; President &gt; CEO &gt; People Operations Director &gt; L&amp;D Director &gt; HR Director</x:v>
      </x:c>
    </x:row>
    <x:row r="46" ht="42" customHeight="1">
      <x:c r="A46" t="str">
        <x:f>'MASTER_QUEUE'!A46</x:f>
        <x:v>ACS Computer Services Inc.</x:v>
      </x:c>
      <x:c r="B46" t="str">
        <x:f>'MASTER_QUEUE'!B46</x:f>
        <x:v>IT Services &amp; Consulting</x:v>
      </x:c>
      <x:c r="C46" s="12" t="str">
        <x:f>'MASTER_QUEUE'!C46</x:f>
        <x:v>Not verified</x:v>
      </x:c>
      <x:c r="D46" s="13" t="str">
        <x:f>'MASTER_QUEUE'!D46</x:f>
        <x:v>Not verified</x:v>
      </x:c>
      <x:c r="E46" s="7" t="str">
        <x:f>'MASTER_QUEUE'!E46</x:f>
        <x:v>Not verified</x:v>
      </x:c>
      <x:c r="F46" s="7" t="str">
        <x:f>'MASTER_QUEUE'!F46</x:f>
        <x:v>Not verified</x:v>
      </x:c>
      <x:c r="G46" t="str">
        <x:f>'MASTER_QUEUE'!G46</x:f>
        <x:v>Brockton</x:v>
      </x:c>
      <x:c r="H46" s="8" t="str">
        <x:f>'MASTER_QUEUE'!H46</x:f>
        <x:v>Apollo</x:v>
      </x:c>
      <x:c r="I46" s="8" t="str">
        <x:f>'MASTER_QUEUE'!I46</x:f>
        <x:v>Not Started</x:v>
      </x:c>
      <x:c r="J46" s="8" t="str">
        <x:f>'MASTER_QUEUE'!J46</x:f>
        <x:v>UNKNOWN_TECH_PROFESSIONAL</x:v>
      </x:c>
      <x:c r="K46" s="7" t="str">
        <x:f>'MASTER_QUEUE'!K46</x:f>
        <x:v>Owner &gt; Founder &gt; Co-Founder &gt; President &gt; CEO &gt; People Operations Director &gt; L&amp;D Director &gt; HR Director</x:v>
      </x:c>
    </x:row>
    <x:row r="47" ht="42" customHeight="1">
      <x:c r="A47" t="str">
        <x:f>'MASTER_QUEUE'!A47</x:f>
        <x:v>ACT Financial Services Inc</x:v>
      </x:c>
      <x:c r="B47" t="str">
        <x:f>'MASTER_QUEUE'!B47</x:f>
        <x:v>Financial Services</x:v>
      </x:c>
      <x:c r="C47" s="12" t="str">
        <x:f>'MASTER_QUEUE'!C47</x:f>
        <x:v>Not verified</x:v>
      </x:c>
      <x:c r="D47" s="13" t="str">
        <x:f>'MASTER_QUEUE'!D47</x:f>
        <x:v>Not verified</x:v>
      </x:c>
      <x:c r="E47" s="7" t="str">
        <x:f>'MASTER_QUEUE'!E47</x:f>
        <x:v>Not verified</x:v>
      </x:c>
      <x:c r="F47" s="7" t="str">
        <x:f>'MASTER_QUEUE'!F47</x:f>
        <x:v>https://www.actfinancialservices.net/</x:v>
      </x:c>
      <x:c r="G47" t="str">
        <x:f>'MASTER_QUEUE'!G47</x:f>
        <x:v>Duxbury</x:v>
      </x:c>
      <x:c r="H47" s="8" t="str">
        <x:f>'MASTER_QUEUE'!H47</x:f>
        <x:v>Apollo</x:v>
      </x:c>
      <x:c r="I47" s="8" t="str">
        <x:f>'MASTER_QUEUE'!I47</x:f>
        <x:v>Not Started</x:v>
      </x:c>
      <x:c r="J47" s="8" t="str">
        <x:f>'MASTER_QUEUE'!J47</x:f>
        <x:v>UNKNOWN_FINANCIAL_SERVICES</x:v>
      </x:c>
      <x:c r="K47" s="7" t="str">
        <x:f>'MASTER_QUEUE'!K47</x:f>
        <x:v>Owner &gt; President &gt; CEO &gt; Managing Partner &gt; HR Director &gt; Training Manager &gt; COO</x:v>
      </x:c>
    </x:row>
    <x:row r="48" ht="42" customHeight="1">
      <x:c r="A48" t="str">
        <x:f>'MASTER_QUEUE'!A48</x:f>
        <x:v>Activ Surgical, Inc.</x:v>
      </x:c>
      <x:c r="B48" t="str">
        <x:f>'MASTER_QUEUE'!B48</x:f>
        <x:v>Medical Device Manufacturing</x:v>
      </x:c>
      <x:c r="C48" s="12" t="n">
        <x:f>'MASTER_QUEUE'!C48</x:f>
        <x:v>40</x:v>
      </x:c>
      <x:c r="D48" s="13" t="str">
        <x:f>'MASTER_QUEUE'!D48</x:f>
        <x:v>11-50</x:v>
      </x:c>
      <x:c r="E48" s="7" t="str">
        <x:f>'MASTER_QUEUE'!E48</x:f>
        <x:v>https://www.linkedin.com/company/activ-surgical</x:v>
      </x:c>
      <x:c r="F48" s="7" t="str">
        <x:f>'MASTER_QUEUE'!F48</x:f>
        <x:v>http://www.activsurgical.com</x:v>
      </x:c>
      <x:c r="G48" t="str">
        <x:f>'MASTER_QUEUE'!G48</x:f>
        <x:v>Boston</x:v>
      </x:c>
      <x:c r="H48" s="8" t="str">
        <x:f>'MASTER_QUEUE'!H48</x:f>
        <x:v>Apollo</x:v>
      </x:c>
      <x:c r="I48" s="8" t="str">
        <x:f>'MASTER_QUEUE'!I48</x:f>
        <x:v>Not Started</x:v>
      </x:c>
      <x:c r="J48" s="8" t="str">
        <x:f>'MASTER_QUEUE'!J48</x:f>
        <x:v>SMALL_MANUFACTURING</x:v>
      </x:c>
      <x:c r="K48" s="7" t="str">
        <x:f>'MASTER_QUEUE'!K48</x:f>
        <x:v>Owner &gt; Founder &gt; Co-Founder &gt; President &gt; CEO &gt; Plant Manager &gt; Operations Manager &gt; Training Manager &gt; HR Manager</x:v>
      </x:c>
    </x:row>
    <x:row r="49" ht="42" customHeight="1">
      <x:c r="A49" t="str">
        <x:f>'MASTER_QUEUE'!A49</x:f>
        <x:v>3XR Inc.</x:v>
      </x:c>
      <x:c r="B49" t="str">
        <x:f>'MASTER_QUEUE'!B49</x:f>
        <x:v>3D Visualization Software</x:v>
      </x:c>
      <x:c r="C49" s="12" t="n">
        <x:f>'MASTER_QUEUE'!C49</x:f>
        <x:v>0</x:v>
      </x:c>
      <x:c r="D49" s="13" t="str">
        <x:f>'MASTER_QUEUE'!D49</x:f>
        <x:v>11-50</x:v>
      </x:c>
      <x:c r="E49" s="7" t="str">
        <x:f>'MASTER_QUEUE'!E49</x:f>
        <x:v>https://www.linkedin.com/company/3xr</x:v>
      </x:c>
      <x:c r="F49" s="7" t="str">
        <x:f>'MASTER_QUEUE'!F49</x:f>
        <x:v>https://www.3xr.com/</x:v>
      </x:c>
      <x:c r="G49" t="str">
        <x:f>'MASTER_QUEUE'!G49</x:f>
        <x:v>Wakefield</x:v>
      </x:c>
      <x:c r="H49" s="8" t="str">
        <x:f>'MASTER_QUEUE'!H49</x:f>
        <x:v>Apollo</x:v>
      </x:c>
      <x:c r="I49" s="8" t="str">
        <x:f>'MASTER_QUEUE'!I49</x:f>
        <x:v>Not Started</x:v>
      </x:c>
      <x:c r="J49" s="8" t="str">
        <x:f>'MASTER_QUEUE'!J49</x:f>
        <x:v>SMALL_TECH_PROFESSIONAL</x:v>
      </x:c>
      <x:c r="K49" s="7" t="str">
        <x:f>'MASTER_QUEUE'!K49</x:f>
        <x:v>Owner &gt; Founder &gt; Co-Founder &gt; President &gt; CEO &gt; Managing Partner &gt; COO &gt; People Operations Manager &gt; HR Manager</x:v>
      </x:c>
    </x:row>
    <x:row r="50" ht="42" customHeight="1">
      <x:c r="A50" t="str">
        <x:f>'MASTER_QUEUE'!A50</x:f>
        <x:v>A &amp; A Window Products, Inc.</x:v>
      </x:c>
      <x:c r="B50" t="str">
        <x:f>'MASTER_QUEUE'!B50</x:f>
        <x:v>Windows &amp; Building Materials</x:v>
      </x:c>
      <x:c r="C50" s="12" t="n">
        <x:f>'MASTER_QUEUE'!C50</x:f>
        <x:v>0</x:v>
      </x:c>
      <x:c r="D50" s="13" t="str">
        <x:f>'MASTER_QUEUE'!D50</x:f>
        <x:v>51-200</x:v>
      </x:c>
      <x:c r="E50" s="7" t="str">
        <x:f>'MASTER_QUEUE'!E50</x:f>
        <x:v>https://www.linkedin.com/company/a-%26-a-window-products-inc-</x:v>
      </x:c>
      <x:c r="F50" s="7" t="str">
        <x:f>'MASTER_QUEUE'!F50</x:f>
        <x:v>http://www.aawindowproducts.com</x:v>
      </x:c>
      <x:c r="G50" t="str">
        <x:f>'MASTER_QUEUE'!G50</x:f>
        <x:v>Malden</x:v>
      </x:c>
      <x:c r="H50" s="8" t="str">
        <x:f>'MASTER_QUEUE'!H50</x:f>
        <x:v>Apollo</x:v>
      </x:c>
      <x:c r="I50" s="8" t="str">
        <x:f>'MASTER_QUEUE'!I50</x:f>
        <x:v>Not Started</x:v>
      </x:c>
      <x:c r="J50" s="8" t="str">
        <x:f>'MASTER_QUEUE'!J50</x:f>
        <x:v>MID_CONSTRUCTION_TRADES</x:v>
      </x:c>
      <x:c r="K50" s="7" t="str">
        <x:f>'MASTER_QUEUE'!K50</x:f>
        <x:v>Operations Director &gt; Safety Director &gt; Safety Manager &gt; Training Manager &gt; HR Director &gt; HR Manager &gt; President &gt; CEO</x:v>
      </x:c>
    </x:row>
    <x:row r="51" ht="42" customHeight="1">
      <x:c r="A51" t="str">
        <x:f>'MASTER_QUEUE'!A51</x:f>
        <x:v>A.M.A. Transportation Co. Inc.</x:v>
      </x:c>
      <x:c r="B51" t="str">
        <x:f>'MASTER_QUEUE'!B51</x:f>
        <x:v>Trucking &amp; Logistics</x:v>
      </x:c>
      <x:c r="C51" s="12" t="str">
        <x:f>'MASTER_QUEUE'!C51</x:f>
        <x:v>Not verified</x:v>
      </x:c>
      <x:c r="D51" s="13" t="str">
        <x:f>'MASTER_QUEUE'!D51</x:f>
        <x:v>Not verified</x:v>
      </x:c>
      <x:c r="E51" s="7" t="str">
        <x:f>'MASTER_QUEUE'!E51</x:f>
        <x:v>Not verified</x:v>
      </x:c>
      <x:c r="F51" s="7" t="str">
        <x:f>'MASTER_QUEUE'!F51</x:f>
        <x:v>Not verified</x:v>
      </x:c>
      <x:c r="G51" t="str">
        <x:f>'MASTER_QUEUE'!G51</x:f>
        <x:v>Billerica</x:v>
      </x:c>
      <x:c r="H51" s="8" t="str">
        <x:f>'MASTER_QUEUE'!H51</x:f>
        <x:v>Apollo</x:v>
      </x:c>
      <x:c r="I51" s="8" t="str">
        <x:f>'MASTER_QUEUE'!I51</x:f>
        <x:v>Not Started</x:v>
      </x:c>
      <x:c r="J51" s="8" t="str">
        <x:f>'MASTER_QUEUE'!J51</x:f>
        <x:v>UNKNOWN_LOGISTICS_OPERATIONS</x:v>
      </x:c>
      <x:c r="K51" s="7" t="str">
        <x:f>'MASTER_QUEUE'!K51</x:f>
        <x:v>Owner &gt; President &gt; CEO &gt; General Manager &gt; Operations Director &gt; Training Manager &gt; Safety Manager &gt; HR Director</x:v>
      </x:c>
    </x:row>
    <x:row r="52" ht="42" customHeight="1">
      <x:c r="A52" t="str">
        <x:f>'MASTER_QUEUE'!A52</x:f>
        <x:v>A3 Architects Inc.</x:v>
      </x:c>
      <x:c r="B52" t="str">
        <x:f>'MASTER_QUEUE'!B52</x:f>
        <x:v>Architecture &amp; Planning</x:v>
      </x:c>
      <x:c r="C52" s="12" t="str">
        <x:f>'MASTER_QUEUE'!C52</x:f>
        <x:v>Not verified</x:v>
      </x:c>
      <x:c r="D52" s="13" t="str">
        <x:f>'MASTER_QUEUE'!D52</x:f>
        <x:v>Not verified</x:v>
      </x:c>
      <x:c r="E52" s="7" t="str">
        <x:f>'MASTER_QUEUE'!E52</x:f>
        <x:v>Not verified</x:v>
      </x:c>
      <x:c r="F52" s="7" t="str">
        <x:f>'MASTER_QUEUE'!F52</x:f>
        <x:v>http://www.a3architectsinc.com/</x:v>
      </x:c>
      <x:c r="G52" t="str">
        <x:f>'MASTER_QUEUE'!G52</x:f>
        <x:v>Dennis</x:v>
      </x:c>
      <x:c r="H52" s="8" t="str">
        <x:f>'MASTER_QUEUE'!H52</x:f>
        <x:v>Apollo</x:v>
      </x:c>
      <x:c r="I52" s="8" t="str">
        <x:f>'MASTER_QUEUE'!I52</x:f>
        <x:v>Not Started</x:v>
      </x:c>
      <x:c r="J52" s="8" t="str">
        <x:f>'MASTER_QUEUE'!J52</x:f>
        <x:v>UNKNOWN_TECH_PROFESSIONAL</x:v>
      </x:c>
      <x:c r="K52" s="7" t="str">
        <x:f>'MASTER_QUEUE'!K52</x:f>
        <x:v>Owner &gt; Founder &gt; Co-Founder &gt; President &gt; CEO &gt; People Operations Director &gt; L&amp;D Director &gt; HR Director</x:v>
      </x:c>
    </x:row>
    <x:row r="53" ht="42" customHeight="1">
      <x:c r="A53" t="str">
        <x:f>'MASTER_QUEUE'!A53</x:f>
        <x:v>Architectural Engineers, Inc.</x:v>
      </x:c>
      <x:c r="B53" t="str">
        <x:f>'MASTER_QUEUE'!B53</x:f>
        <x:v>Engineering Services</x:v>
      </x:c>
      <x:c r="C53" s="12" t="n">
        <x:f>'MASTER_QUEUE'!C53</x:f>
        <x:v>14</x:v>
      </x:c>
      <x:c r="D53" s="13" t="str">
        <x:f>'MASTER_QUEUE'!D53</x:f>
        <x:v>11-50</x:v>
      </x:c>
      <x:c r="E53" s="7" t="str">
        <x:f>'MASTER_QUEUE'!E53</x:f>
        <x:v>https://www.linkedin.com/company/architectural-engineers-inc-</x:v>
      </x:c>
      <x:c r="F53" s="7" t="str">
        <x:f>'MASTER_QUEUE'!F53</x:f>
        <x:v>http://www.imegcorp.com</x:v>
      </x:c>
      <x:c r="G53" t="str">
        <x:f>'MASTER_QUEUE'!G53</x:f>
        <x:v>Boston</x:v>
      </x:c>
      <x:c r="H53" s="8" t="str">
        <x:f>'MASTER_QUEUE'!H53</x:f>
        <x:v>Apollo</x:v>
      </x:c>
      <x:c r="I53" s="8" t="str">
        <x:f>'MASTER_QUEUE'!I53</x:f>
        <x:v>Not Started</x:v>
      </x:c>
      <x:c r="J53" s="8" t="str">
        <x:f>'MASTER_QUEUE'!J53</x:f>
        <x:v>SMALL_TECH_PROFESSIONAL</x:v>
      </x:c>
      <x:c r="K53" s="7" t="str">
        <x:f>'MASTER_QUEUE'!K53</x:f>
        <x:v>Owner &gt; Founder &gt; Co-Founder &gt; President &gt; CEO &gt; Managing Partner &gt; COO &gt; People Operations Manager &gt; HR Manager</x:v>
      </x:c>
    </x:row>
    <x:row r="54" ht="42" customHeight="1">
      <x:c r="A54" t="str">
        <x:f>'MASTER_QUEUE'!A54</x:f>
        <x:v>Mass Tank Sales Corp.</x:v>
      </x:c>
      <x:c r="B54" t="str">
        <x:f>'MASTER_QUEUE'!B54</x:f>
        <x:v>Tank Fabrication &amp; Industrial Equipment</x:v>
      </x:c>
      <x:c r="C54" s="12" t="str">
        <x:f>'MASTER_QUEUE'!C54</x:f>
        <x:v>Not verified</x:v>
      </x:c>
      <x:c r="D54" s="13" t="str">
        <x:f>'MASTER_QUEUE'!D54</x:f>
        <x:v>Not verified</x:v>
      </x:c>
      <x:c r="E54" s="7" t="str">
        <x:f>'MASTER_QUEUE'!E54</x:f>
        <x:v>Not verified</x:v>
      </x:c>
      <x:c r="F54" s="7" t="str">
        <x:f>'MASTER_QUEUE'!F54</x:f>
        <x:v>Not verified</x:v>
      </x:c>
      <x:c r="G54" t="str">
        <x:f>'MASTER_QUEUE'!G54</x:f>
        <x:v>Middleboro</x:v>
      </x:c>
      <x:c r="H54" s="8" t="str">
        <x:f>'MASTER_QUEUE'!H54</x:f>
        <x:v>Apollo</x:v>
      </x:c>
      <x:c r="I54" s="8" t="str">
        <x:f>'MASTER_QUEUE'!I54</x:f>
        <x:v>Not Started</x:v>
      </x:c>
      <x:c r="J54" s="8" t="str">
        <x:f>'MASTER_QUEUE'!J54</x:f>
        <x:v>UNKNOWN_MANUFACTURING</x:v>
      </x:c>
      <x:c r="K54" s="7" t="str">
        <x:f>'MASTER_QUEUE'!K54</x:f>
        <x:v>Owner &gt; President &gt; CEO &gt; Plant Manager &gt; Operations Director &gt; Training Manager &gt; HR Director</x:v>
      </x:c>
    </x:row>
    <x:row r="55" ht="42" customHeight="1">
      <x:c r="A55" t="str">
        <x:f>'MASTER_QUEUE'!A55</x:f>
        <x:v>MedAcuity LLC</x:v>
      </x:c>
      <x:c r="B55" t="str">
        <x:f>'MASTER_QUEUE'!B55</x:f>
        <x:v>Medical Software Development</x:v>
      </x:c>
      <x:c r="C55" s="12" t="n">
        <x:f>'MASTER_QUEUE'!C55</x:f>
        <x:v>81</x:v>
      </x:c>
      <x:c r="D55" s="13" t="str">
        <x:f>'MASTER_QUEUE'!D55</x:f>
        <x:v>51-200</x:v>
      </x:c>
      <x:c r="E55" s="7" t="str">
        <x:f>'MASTER_QUEUE'!E55</x:f>
        <x:v>https://www.linkedin.com/company/medacuity</x:v>
      </x:c>
      <x:c r="F55" s="7" t="str">
        <x:f>'MASTER_QUEUE'!F55</x:f>
        <x:v>http://www.medacuity.com</x:v>
      </x:c>
      <x:c r="G55" t="str">
        <x:f>'MASTER_QUEUE'!G55</x:f>
        <x:v>Westford</x:v>
      </x:c>
      <x:c r="H55" s="8" t="str">
        <x:f>'MASTER_QUEUE'!H55</x:f>
        <x:v>Apollo</x:v>
      </x:c>
      <x:c r="I55" s="8" t="str">
        <x:f>'MASTER_QUEUE'!I55</x:f>
        <x:v>Not Started</x:v>
      </x:c>
      <x:c r="J55" s="8" t="str">
        <x:f>'MASTER_QUEUE'!J55</x:f>
        <x:v>MID_TECH_PROFESSIONAL</x:v>
      </x:c>
      <x:c r="K55" s="7" t="str">
        <x:f>'MASTER_QUEUE'!K55</x:f>
        <x:v>People Operations Director &gt; HR Director &gt; L&amp;D Manager &gt; Talent Development Manager &gt; Operations Director &gt; Managing Partner &gt; CEO</x:v>
      </x:c>
    </x:row>
    <x:row r="56" ht="42" customHeight="1">
      <x:c r="A56" t="str">
        <x:f>'MASTER_QUEUE'!A56</x:f>
        <x:v>AGRI MARK Inc.</x:v>
      </x:c>
      <x:c r="B56" t="str">
        <x:f>'MASTER_QUEUE'!B56</x:f>
        <x:v>Dairy Manufacturing</x:v>
      </x:c>
      <x:c r="C56" s="12" t="n">
        <x:f>'MASTER_QUEUE'!C56</x:f>
        <x:v>354</x:v>
      </x:c>
      <x:c r="D56" s="13" t="str">
        <x:f>'MASTER_QUEUE'!D56</x:f>
        <x:v>1,001-5,000</x:v>
      </x:c>
      <x:c r="E56" s="7" t="str">
        <x:f>'MASTER_QUEUE'!E56</x:f>
        <x:v>https://www.linkedin.com/company/agri-mark-inc.</x:v>
      </x:c>
      <x:c r="F56" s="7" t="str">
        <x:f>'MASTER_QUEUE'!F56</x:f>
        <x:v>http://www.agrimark.net</x:v>
      </x:c>
      <x:c r="G56" t="str">
        <x:f>'MASTER_QUEUE'!G56</x:f>
        <x:v>West Springfield</x:v>
      </x:c>
      <x:c r="H56" s="8" t="str">
        <x:f>'MASTER_QUEUE'!H56</x:f>
        <x:v>Apollo</x:v>
      </x:c>
      <x:c r="I56" s="8" t="str">
        <x:f>'MASTER_QUEUE'!I56</x:f>
        <x:v>Not Started</x:v>
      </x:c>
      <x:c r="J56" s="8" t="str">
        <x:f>'MASTER_QUEUE'!J56</x:f>
        <x:v>ENTERPRISE_MANUFACTURING</x:v>
      </x:c>
      <x:c r="K56" s="7" t="str">
        <x:f>'MASTER_QUEUE'!K56</x:f>
        <x:v>Plant Manager &gt; Training Director &gt; L&amp;D Director &gt; Workforce Development Director &gt; Operations Director &gt; HR Director &gt; VP of HR</x:v>
      </x:c>
    </x:row>
    <x:row r="57" ht="42" customHeight="1">
      <x:c r="A57" t="str">
        <x:f>'MASTER_QUEUE'!A57</x:f>
        <x:v>AHA Consulting Engineers, Inc.</x:v>
      </x:c>
      <x:c r="B57" t="str">
        <x:f>'MASTER_QUEUE'!B57</x:f>
        <x:v>Engineering Services</x:v>
      </x:c>
      <x:c r="C57" s="12" t="n">
        <x:f>'MASTER_QUEUE'!C57</x:f>
        <x:v>206</x:v>
      </x:c>
      <x:c r="D57" s="13" t="str">
        <x:f>'MASTER_QUEUE'!D57</x:f>
        <x:v>51-200</x:v>
      </x:c>
      <x:c r="E57" s="7" t="str">
        <x:f>'MASTER_QUEUE'!E57</x:f>
        <x:v>https://www.linkedin.com/company/aha-consulting-engineers</x:v>
      </x:c>
      <x:c r="F57" s="7" t="str">
        <x:f>'MASTER_QUEUE'!F57</x:f>
        <x:v>http://www.aha-engineers.com</x:v>
      </x:c>
      <x:c r="G57" t="str">
        <x:f>'MASTER_QUEUE'!G57</x:f>
        <x:v>Lexington</x:v>
      </x:c>
      <x:c r="H57" s="8" t="str">
        <x:f>'MASTER_QUEUE'!H57</x:f>
        <x:v>Apollo</x:v>
      </x:c>
      <x:c r="I57" s="8" t="str">
        <x:f>'MASTER_QUEUE'!I57</x:f>
        <x:v>Not Started</x:v>
      </x:c>
      <x:c r="J57" s="8" t="str">
        <x:f>'MASTER_QUEUE'!J57</x:f>
        <x:v>LARGE_TECH_PROFESSIONAL</x:v>
      </x:c>
      <x:c r="K57" s="7" t="str">
        <x:f>'MASTER_QUEUE'!K57</x:f>
        <x:v>L&amp;D Director &gt; People Operations Director &gt; Talent Development Director &gt; Organizational Development Director &gt; HR Director &gt; VP of People</x:v>
      </x:c>
    </x:row>
    <x:row r="58" ht="42" customHeight="1">
      <x:c r="A58" t="str">
        <x:f>'MASTER_QUEUE'!A58</x:f>
        <x:v>AI Engineers, Inc.</x:v>
      </x:c>
      <x:c r="B58" t="str">
        <x:f>'MASTER_QUEUE'!B58</x:f>
        <x:v>Civil Engineering</x:v>
      </x:c>
      <x:c r="C58" s="12" t="n">
        <x:f>'MASTER_QUEUE'!C58</x:f>
        <x:v>415</x:v>
      </x:c>
      <x:c r="D58" s="13" t="str">
        <x:f>'MASTER_QUEUE'!D58</x:f>
        <x:v>201-500</x:v>
      </x:c>
      <x:c r="E58" s="7" t="str">
        <x:f>'MASTER_QUEUE'!E58</x:f>
        <x:v>https://www.linkedin.com/company/ai-engineers-inc</x:v>
      </x:c>
      <x:c r="F58" s="7" t="str">
        <x:f>'MASTER_QUEUE'!F58</x:f>
        <x:v>http://www.aiengineers.com/</x:v>
      </x:c>
      <x:c r="G58" t="str">
        <x:f>'MASTER_QUEUE'!G58</x:f>
        <x:v>Boston</x:v>
      </x:c>
      <x:c r="H58" s="8" t="str">
        <x:f>'MASTER_QUEUE'!H58</x:f>
        <x:v>Apollo</x:v>
      </x:c>
      <x:c r="I58" s="8" t="str">
        <x:f>'MASTER_QUEUE'!I58</x:f>
        <x:v>Not Started</x:v>
      </x:c>
      <x:c r="J58" s="8" t="str">
        <x:f>'MASTER_QUEUE'!J58</x:f>
        <x:v>LARGE_TECH_PROFESSIONAL</x:v>
      </x:c>
      <x:c r="K58" s="7" t="str">
        <x:f>'MASTER_QUEUE'!K58</x:f>
        <x:v>L&amp;D Director &gt; People Operations Director &gt; Talent Development Director &gt; Organizational Development Director &gt; HR Director &gt; VP of People</x:v>
      </x:c>
    </x:row>
    <x:row r="59" ht="42" customHeight="1">
      <x:c r="A59" t="str">
        <x:f>'MASTER_QUEUE'!A59</x:f>
        <x:v>Antenna Associates Inc.</x:v>
      </x:c>
      <x:c r="B59" t="str">
        <x:f>'MASTER_QUEUE'!B59</x:f>
        <x:v>Telecommunications Equipment Manufacturing</x:v>
      </x:c>
      <x:c r="C59" s="12" t="n">
        <x:f>'MASTER_QUEUE'!C59</x:f>
        <x:v>0</x:v>
      </x:c>
      <x:c r="D59" s="13" t="str">
        <x:f>'MASTER_QUEUE'!D59</x:f>
        <x:v>11-50</x:v>
      </x:c>
      <x:c r="E59" s="7" t="str">
        <x:f>'MASTER_QUEUE'!E59</x:f>
        <x:v>https://www.linkedin.com/company/antenna-associates-inc-</x:v>
      </x:c>
      <x:c r="F59" s="7" t="str">
        <x:f>'MASTER_QUEUE'!F59</x:f>
        <x:v>http://www.antennaassociates.com</x:v>
      </x:c>
      <x:c r="G59" t="str">
        <x:f>'MASTER_QUEUE'!G59</x:f>
        <x:v>Brockton</x:v>
      </x:c>
      <x:c r="H59" s="8" t="str">
        <x:f>'MASTER_QUEUE'!H59</x:f>
        <x:v>Apollo</x:v>
      </x:c>
      <x:c r="I59" s="8" t="str">
        <x:f>'MASTER_QUEUE'!I59</x:f>
        <x:v>Not Started</x:v>
      </x:c>
      <x:c r="J59" s="8" t="str">
        <x:f>'MASTER_QUEUE'!J59</x:f>
        <x:v>SMALL_MANUFACTURING</x:v>
      </x:c>
      <x:c r="K59" s="7" t="str">
        <x:f>'MASTER_QUEUE'!K59</x:f>
        <x:v>Owner &gt; Founder &gt; Co-Founder &gt; President &gt; CEO &gt; Plant Manager &gt; Operations Manager &gt; Training Manager &gt; HR Manager</x:v>
      </x:c>
    </x:row>
    <x:row r="60" ht="42" customHeight="1">
      <x:c r="A60" t="str">
        <x:f>'MASTER_QUEUE'!A60</x:f>
        <x:v>Boston Baking Inc.</x:v>
      </x:c>
      <x:c r="B60" t="str">
        <x:f>'MASTER_QUEUE'!B60</x:f>
        <x:v>Food Manufacturing</x:v>
      </x:c>
      <x:c r="C60" s="12" t="n">
        <x:f>'MASTER_QUEUE'!C60</x:f>
        <x:v>0</x:v>
      </x:c>
      <x:c r="D60" s="13" t="str">
        <x:f>'MASTER_QUEUE'!D60</x:f>
        <x:v>51-200</x:v>
      </x:c>
      <x:c r="E60" s="7" t="str">
        <x:f>'MASTER_QUEUE'!E60</x:f>
        <x:v>https://www.linkedin.com/company/boston-baking-inc</x:v>
      </x:c>
      <x:c r="F60" s="7" t="str">
        <x:f>'MASTER_QUEUE'!F60</x:f>
        <x:v>http://www.bostonbaking.com</x:v>
      </x:c>
      <x:c r="G60" t="str">
        <x:f>'MASTER_QUEUE'!G60</x:f>
        <x:v>Boston</x:v>
      </x:c>
      <x:c r="H60" s="8" t="str">
        <x:f>'MASTER_QUEUE'!H60</x:f>
        <x:v>Apollo</x:v>
      </x:c>
      <x:c r="I60" s="8" t="str">
        <x:f>'MASTER_QUEUE'!I60</x:f>
        <x:v>Not Started</x:v>
      </x:c>
      <x:c r="J60" s="8" t="str">
        <x:f>'MASTER_QUEUE'!J60</x:f>
        <x:v>MID_MANUFACTURING</x:v>
      </x:c>
      <x:c r="K60" s="7" t="str">
        <x:f>'MASTER_QUEUE'!K60</x:f>
        <x:v>Plant Manager &gt; Operations Director &gt; HR Director &gt; Training Manager &gt; Safety Manager &gt; President &gt; CEO</x:v>
      </x:c>
    </x:row>
  </x:sheetData>
  <x:conditionalFormatting sqref="C2:F60">
    <x:cfRule type="containsText" dxfId="7" priority="1" operator="containsText" text="Not verified"/>
    <x:cfRule type="containsText" dxfId="8" priority="2" operator="containsText" text="Not visible"/>
  </x:conditionalFormatting>
  <x:conditionalFormatting sqref="I2:I60">
    <x:cfRule type="containsText" dxfId="9" priority="3" operator="containsText" text="Not Started"/>
    <x:cfRule type="containsText" dxfId="10" priority="4" operator="containsText" text="In Progress"/>
    <x:cfRule type="containsText" dxfId="11" priority="5" operator="containsText" text="Ready"/>
    <x:cfRule type="containsText" dxfId="12" priority="6" operator="containsText" text="Needs Review"/>
    <x:cfRule type="containsText" dxfId="13" priority="7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fbfe8247173846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5" hidden="0" customWidth="1"/>
    <x:col min="3" max="3" width="21" hidden="0" customWidth="1"/>
    <x:col min="4" max="4" width="22" hidden="0" customWidth="1"/>
    <x:col min="5" max="5" width="52" hidden="0" customWidth="1"/>
    <x:col min="6" max="6" width="42" hidden="0" customWidth="1"/>
    <x:col min="7" max="7" width="20" hidden="0" customWidth="1"/>
    <x:col min="8" max="8" width="17" hidden="0" customWidth="1"/>
    <x:col min="9" max="9" width="19" hidden="0" customWidth="1"/>
    <x:col min="10" max="10" width="34" hidden="0" customWidth="1"/>
    <x:col min="11" max="11" width="92" hidden="0" customWidth="1"/>
  </x:cols>
  <x:sheetData>
    <x:row r="1" ht="30" customHeight="1">
      <x:c r="A1" t="str">
        <x:v>company</x:v>
      </x:c>
      <x:c r="B1" t="str">
        <x:v>industry</x:v>
      </x:c>
      <x:c r="C1" t="str">
        <x:v>linkedinEmployeeCount</x:v>
      </x:c>
      <x:c r="D1" t="str">
        <x:v>linkedInCompanySize</x:v>
      </x:c>
      <x:c r="E1" t="str">
        <x:v>linkedInUrl</x:v>
      </x:c>
      <x:c r="F1" t="str">
        <x:v>website</x:v>
      </x:c>
      <x:c r="G1" t="str">
        <x:v>city</x:v>
      </x:c>
      <x:c r="H1" t="str">
        <x:v>assignedTool</x:v>
      </x:c>
      <x:c r="I1" t="str">
        <x:v>reviewStatus</x:v>
      </x:c>
      <x:c r="J1" t="str">
        <x:v>targetingTrack</x:v>
      </x:c>
      <x:c r="K1" t="str">
        <x:v>targetTitlePriority</x:v>
      </x:c>
    </x:row>
    <x:row r="2" ht="42" customHeight="1">
      <x:c r="A2" t="str">
        <x:f>'MASTER_QUEUE'!A61</x:f>
        <x:v>3Play Media</x:v>
      </x:c>
      <x:c r="B2" t="str">
        <x:f>'MASTER_QUEUE'!B61</x:f>
        <x:v>Media Accessibility &amp; Localization</x:v>
      </x:c>
      <x:c r="C2" s="12" t="n">
        <x:f>'MASTER_QUEUE'!C61</x:f>
        <x:v>600</x:v>
      </x:c>
      <x:c r="D2" s="13" t="str">
        <x:f>'MASTER_QUEUE'!D61</x:f>
        <x:v>51-200</x:v>
      </x:c>
      <x:c r="E2" s="7" t="str">
        <x:f>'MASTER_QUEUE'!E61</x:f>
        <x:v>https://www.linkedin.com/company/3play-media</x:v>
      </x:c>
      <x:c r="F2" s="7" t="str">
        <x:f>'MASTER_QUEUE'!F61</x:f>
        <x:v>https://www.3playmedia.com/</x:v>
      </x:c>
      <x:c r="G2" t="str">
        <x:f>'MASTER_QUEUE'!G61</x:f>
        <x:v>Boston</x:v>
      </x:c>
      <x:c r="H2" s="8" t="str">
        <x:f>'MASTER_QUEUE'!H61</x:f>
        <x:v>Prospeo</x:v>
      </x:c>
      <x:c r="I2" s="8" t="str">
        <x:f>'MASTER_QUEUE'!I61</x:f>
        <x:v>Not Started</x:v>
      </x:c>
      <x:c r="J2" s="8" t="str">
        <x:f>'MASTER_QUEUE'!J61</x:f>
        <x:v>LARGE_TECH_PROFESSIONAL</x:v>
      </x:c>
      <x:c r="K2" s="7" t="str">
        <x:f>'MASTER_QUEUE'!K61</x:f>
        <x:v>L&amp;D Director &gt; People Operations Director &gt; Talent Development Director &gt; Organizational Development Director &gt; HR Director &gt; VP of People</x:v>
      </x:c>
    </x:row>
    <x:row r="3" ht="42" customHeight="1">
      <x:c r="A3" t="str">
        <x:f>'MASTER_QUEUE'!A62</x:f>
        <x:v>88 Acres Foods</x:v>
      </x:c>
      <x:c r="B3" t="str">
        <x:f>'MASTER_QUEUE'!B62</x:f>
        <x:v>Food &amp; Beverage Manufacturing</x:v>
      </x:c>
      <x:c r="C3" s="12" t="n">
        <x:f>'MASTER_QUEUE'!C62</x:f>
        <x:v>41</x:v>
      </x:c>
      <x:c r="D3" s="13" t="str">
        <x:f>'MASTER_QUEUE'!D62</x:f>
        <x:v>51-200</x:v>
      </x:c>
      <x:c r="E3" s="7" t="str">
        <x:f>'MASTER_QUEUE'!E62</x:f>
        <x:v>https://www.linkedin.com/company/88-acres</x:v>
      </x:c>
      <x:c r="F3" s="7" t="str">
        <x:f>'MASTER_QUEUE'!F62</x:f>
        <x:v>https://88acres.com/</x:v>
      </x:c>
      <x:c r="G3" t="str">
        <x:f>'MASTER_QUEUE'!G62</x:f>
        <x:v>Canton</x:v>
      </x:c>
      <x:c r="H3" s="8" t="str">
        <x:f>'MASTER_QUEUE'!H62</x:f>
        <x:v>Prospeo</x:v>
      </x:c>
      <x:c r="I3" s="8" t="str">
        <x:f>'MASTER_QUEUE'!I62</x:f>
        <x:v>Not Started</x:v>
      </x:c>
      <x:c r="J3" s="8" t="str">
        <x:f>'MASTER_QUEUE'!J62</x:f>
        <x:v>MID_MANUFACTURING</x:v>
      </x:c>
      <x:c r="K3" s="7" t="str">
        <x:f>'MASTER_QUEUE'!K62</x:f>
        <x:v>Plant Manager &gt; Operations Director &gt; HR Director &gt; Training Manager &gt; Safety Manager &gt; President &gt; CEO</x:v>
      </x:c>
    </x:row>
    <x:row r="4" ht="42" customHeight="1">
      <x:c r="A4" t="str">
        <x:f>'MASTER_QUEUE'!A63</x:f>
        <x:v>ABCorp</x:v>
      </x:c>
      <x:c r="B4" t="str">
        <x:f>'MASTER_QUEUE'!B63</x:f>
        <x:v>Security Printing &amp; Identity Solutions</x:v>
      </x:c>
      <x:c r="C4" s="12" t="n">
        <x:f>'MASTER_QUEUE'!C63</x:f>
        <x:v>231</x:v>
      </x:c>
      <x:c r="D4" s="13" t="str">
        <x:f>'MASTER_QUEUE'!D63</x:f>
        <x:v>501-1,000</x:v>
      </x:c>
      <x:c r="E4" s="7" t="str">
        <x:f>'MASTER_QUEUE'!E63</x:f>
        <x:v>https://www.linkedin.com/company/abcorp-american-banknote-corporation</x:v>
      </x:c>
      <x:c r="F4" s="7" t="str">
        <x:f>'MASTER_QUEUE'!F63</x:f>
        <x:v>https://abcorp.com/</x:v>
      </x:c>
      <x:c r="G4" t="str">
        <x:f>'MASTER_QUEUE'!G63</x:f>
        <x:v>Boston</x:v>
      </x:c>
      <x:c r="H4" s="8" t="str">
        <x:f>'MASTER_QUEUE'!H63</x:f>
        <x:v>Prospeo</x:v>
      </x:c>
      <x:c r="I4" s="8" t="str">
        <x:f>'MASTER_QUEUE'!I63</x:f>
        <x:v>Not Started</x:v>
      </x:c>
      <x:c r="J4" s="8" t="str">
        <x:f>'MASTER_QUEUE'!J63</x:f>
        <x:v>LARGE_MANUFACTURING</x:v>
      </x:c>
      <x:c r="K4" s="7" t="str">
        <x:f>'MASTER_QUEUE'!K63</x:f>
        <x:v>Plant Manager &gt; Operations Director &gt; Training Director &gt; L&amp;D Director &gt; HR Director &gt; Safety Director &gt; VP of Operations</x:v>
      </x:c>
    </x:row>
    <x:row r="5" ht="42" customHeight="1">
      <x:c r="A5" t="str">
        <x:f>'MASTER_QUEUE'!A64</x:f>
        <x:v>Aceituna Grill</x:v>
      </x:c>
      <x:c r="B5" t="str">
        <x:f>'MASTER_QUEUE'!B64</x:f>
        <x:v>Restaurants</x:v>
      </x:c>
      <x:c r="C5" s="12" t="n">
        <x:f>'MASTER_QUEUE'!C64</x:f>
        <x:v>7</x:v>
      </x:c>
      <x:c r="D5" s="13" t="str">
        <x:f>'MASTER_QUEUE'!D64</x:f>
        <x:v>2-10</x:v>
      </x:c>
      <x:c r="E5" s="7" t="str">
        <x:f>'MASTER_QUEUE'!E64</x:f>
        <x:v>https://www.linkedin.com/company/aceituna-grill</x:v>
      </x:c>
      <x:c r="F5" s="7" t="str">
        <x:f>'MASTER_QUEUE'!F64</x:f>
        <x:v>https://www.aceitunagrill.com/</x:v>
      </x:c>
      <x:c r="G5" t="str">
        <x:f>'MASTER_QUEUE'!G64</x:f>
        <x:v>Boston</x:v>
      </x:c>
      <x:c r="H5" s="8" t="str">
        <x:f>'MASTER_QUEUE'!H64</x:f>
        <x:v>Prospeo</x:v>
      </x:c>
      <x:c r="I5" s="8" t="str">
        <x:f>'MASTER_QUEUE'!I64</x:f>
        <x:v>Not Started</x:v>
      </x:c>
      <x:c r="J5" s="8" t="str">
        <x:f>'MASTER_QUEUE'!J64</x:f>
        <x:v>SMALL_HOSPITALITY_RETAIL</x:v>
      </x:c>
      <x:c r="K5" s="7" t="str">
        <x:f>'MASTER_QUEUE'!K64</x:f>
        <x:v>Owner &gt; Founder &gt; Co-Founder &gt; President &gt; CEO &gt; General Manager &gt; Operations Manager &gt; Training Manager &gt; HR Manager</x:v>
      </x:c>
    </x:row>
    <x:row r="6" ht="42" customHeight="1">
      <x:c r="A6" t="str">
        <x:f>'MASTER_QUEUE'!A65</x:f>
        <x:v>Adaptas Solution</x:v>
      </x:c>
      <x:c r="B6" t="str">
        <x:f>'MASTER_QUEUE'!B65</x:f>
        <x:v>Medical Equipment Manufacturing</x:v>
      </x:c>
      <x:c r="C6" s="12" t="n">
        <x:f>'MASTER_QUEUE'!C65</x:f>
        <x:v>167</x:v>
      </x:c>
      <x:c r="D6" s="13" t="str">
        <x:f>'MASTER_QUEUE'!D65</x:f>
        <x:v>5,001-10,000</x:v>
      </x:c>
      <x:c r="E6" s="7" t="str">
        <x:f>'MASTER_QUEUE'!E65</x:f>
        <x:v>https://www.linkedin.com/company/adaptas-solutions</x:v>
      </x:c>
      <x:c r="F6" s="7" t="str">
        <x:f>'MASTER_QUEUE'!F65</x:f>
        <x:v>https://www.adaptas.com/</x:v>
      </x:c>
      <x:c r="G6" t="str">
        <x:f>'MASTER_QUEUE'!G65</x:f>
        <x:v>Palmer</x:v>
      </x:c>
      <x:c r="H6" s="8" t="str">
        <x:f>'MASTER_QUEUE'!H65</x:f>
        <x:v>Prospeo</x:v>
      </x:c>
      <x:c r="I6" s="8" t="str">
        <x:f>'MASTER_QUEUE'!I65</x:f>
        <x:v>Not Started</x:v>
      </x:c>
      <x:c r="J6" s="8" t="str">
        <x:f>'MASTER_QUEUE'!J65</x:f>
        <x:v>ENTERPRISE_MANUFACTURING</x:v>
      </x:c>
      <x:c r="K6" s="7" t="str">
        <x:f>'MASTER_QUEUE'!K65</x:f>
        <x:v>Plant Manager &gt; Training Director &gt; L&amp;D Director &gt; Workforce Development Director &gt; Operations Director &gt; HR Director &gt; VP of HR</x:v>
      </x:c>
    </x:row>
    <x:row r="7" ht="42" customHeight="1">
      <x:c r="A7" t="str">
        <x:f>'MASTER_QUEUE'!A66</x:f>
        <x:v>Admiral Metals</x:v>
      </x:c>
      <x:c r="B7" t="str">
        <x:f>'MASTER_QUEUE'!B66</x:f>
        <x:v>Metals Wholesale</x:v>
      </x:c>
      <x:c r="C7" s="12" t="n">
        <x:f>'MASTER_QUEUE'!C66</x:f>
        <x:v>102</x:v>
      </x:c>
      <x:c r="D7" s="13" t="str">
        <x:f>'MASTER_QUEUE'!D66</x:f>
        <x:v>51-200</x:v>
      </x:c>
      <x:c r="E7" s="7" t="str">
        <x:f>'MASTER_QUEUE'!E66</x:f>
        <x:v>https://www.linkedin.com/company/admiral-metals</x:v>
      </x:c>
      <x:c r="F7" s="7" t="str">
        <x:f>'MASTER_QUEUE'!F66</x:f>
        <x:v>https://www.admiralmetals.com/</x:v>
      </x:c>
      <x:c r="G7" t="str">
        <x:f>'MASTER_QUEUE'!G66</x:f>
        <x:v>Woburn</x:v>
      </x:c>
      <x:c r="H7" s="8" t="str">
        <x:f>'MASTER_QUEUE'!H66</x:f>
        <x:v>Prospeo</x:v>
      </x:c>
      <x:c r="I7" s="8" t="str">
        <x:f>'MASTER_QUEUE'!I66</x:f>
        <x:v>Not Started</x:v>
      </x:c>
      <x:c r="J7" s="8" t="str">
        <x:f>'MASTER_QUEUE'!J66</x:f>
        <x:v>MID_MANUFACTURING</x:v>
      </x:c>
      <x:c r="K7" s="7" t="str">
        <x:f>'MASTER_QUEUE'!K66</x:f>
        <x:v>Plant Manager &gt; Operations Director &gt; HR Director &gt; Training Manager &gt; Safety Manager &gt; President &gt; CEO</x:v>
      </x:c>
    </x:row>
    <x:row r="8" ht="42" customHeight="1">
      <x:c r="A8" t="str">
        <x:f>'MASTER_QUEUE'!A67</x:f>
        <x:v>Allegro MicroSystems</x:v>
      </x:c>
      <x:c r="B8" t="str">
        <x:f>'MASTER_QUEUE'!B67</x:f>
        <x:v>Semiconductor Manufacturing</x:v>
      </x:c>
      <x:c r="C8" s="12" t="n">
        <x:f>'MASTER_QUEUE'!C67</x:f>
        <x:v>2896</x:v>
      </x:c>
      <x:c r="D8" s="13" t="str">
        <x:f>'MASTER_QUEUE'!D67</x:f>
        <x:v>1,001-5,000</x:v>
      </x:c>
      <x:c r="E8" s="7" t="str">
        <x:f>'MASTER_QUEUE'!E67</x:f>
        <x:v>https://www.linkedin.com/company/allegro-microsystems</x:v>
      </x:c>
      <x:c r="F8" s="7" t="str">
        <x:f>'MASTER_QUEUE'!F67</x:f>
        <x:v>https://www.allegromicro.com/</x:v>
      </x:c>
      <x:c r="G8" t="str">
        <x:f>'MASTER_QUEUE'!G67</x:f>
        <x:v>Natick</x:v>
      </x:c>
      <x:c r="H8" s="8" t="str">
        <x:f>'MASTER_QUEUE'!H67</x:f>
        <x:v>Prospeo</x:v>
      </x:c>
      <x:c r="I8" s="8" t="str">
        <x:f>'MASTER_QUEUE'!I67</x:f>
        <x:v>Not Started</x:v>
      </x:c>
      <x:c r="J8" s="8" t="str">
        <x:f>'MASTER_QUEUE'!J67</x:f>
        <x:v>ENTERPRISE_MANUFACTURING</x:v>
      </x:c>
      <x:c r="K8" s="7" t="str">
        <x:f>'MASTER_QUEUE'!K67</x:f>
        <x:v>Plant Manager &gt; Training Director &gt; L&amp;D Director &gt; Workforce Development Director &gt; Operations Director &gt; HR Director &gt; VP of HR</x:v>
      </x:c>
    </x:row>
    <x:row r="9" ht="42" customHeight="1">
      <x:c r="A9" t="str">
        <x:f>'MASTER_QUEUE'!A68</x:f>
        <x:v>Alpha Chemical Services</x:v>
      </x:c>
      <x:c r="B9" t="str">
        <x:f>'MASTER_QUEUE'!B68</x:f>
        <x:v>Chemical Manufacturing</x:v>
      </x:c>
      <x:c r="C9" s="12" t="n">
        <x:f>'MASTER_QUEUE'!C68</x:f>
        <x:v>48</x:v>
      </x:c>
      <x:c r="D9" s="13" t="str">
        <x:f>'MASTER_QUEUE'!D68</x:f>
        <x:v>51-200</x:v>
      </x:c>
      <x:c r="E9" s="7" t="str">
        <x:f>'MASTER_QUEUE'!E68</x:f>
        <x:v>https://www.linkedin.com/company/alphachemical</x:v>
      </x:c>
      <x:c r="F9" s="7" t="str">
        <x:f>'MASTER_QUEUE'!F68</x:f>
        <x:v>https://alphachemical.com/</x:v>
      </x:c>
      <x:c r="G9" t="str">
        <x:f>'MASTER_QUEUE'!G68</x:f>
        <x:v>Stoughton</x:v>
      </x:c>
      <x:c r="H9" s="8" t="str">
        <x:f>'MASTER_QUEUE'!H68</x:f>
        <x:v>Prospeo</x:v>
      </x:c>
      <x:c r="I9" s="8" t="str">
        <x:f>'MASTER_QUEUE'!I68</x:f>
        <x:v>Not Started</x:v>
      </x:c>
      <x:c r="J9" s="8" t="str">
        <x:f>'MASTER_QUEUE'!J68</x:f>
        <x:v>MID_MANUFACTURING</x:v>
      </x:c>
      <x:c r="K9" s="7" t="str">
        <x:f>'MASTER_QUEUE'!K68</x:f>
        <x:v>Plant Manager &gt; Operations Director &gt; HR Director &gt; Training Manager &gt; Safety Manager &gt; President &gt; CEO</x:v>
      </x:c>
    </x:row>
    <x:row r="10" ht="42" customHeight="1">
      <x:c r="A10" t="str">
        <x:f>'MASTER_QUEUE'!A69</x:f>
        <x:v>Analytix Business Solutions</x:v>
      </x:c>
      <x:c r="B10" t="str">
        <x:f>'MASTER_QUEUE'!B69</x:f>
        <x:v>Business Consulting &amp; Outsourcing</x:v>
      </x:c>
      <x:c r="C10" s="12" t="n">
        <x:f>'MASTER_QUEUE'!C69</x:f>
        <x:v>596</x:v>
      </x:c>
      <x:c r="D10" s="13" t="str">
        <x:f>'MASTER_QUEUE'!D69</x:f>
        <x:v>501-1,000</x:v>
      </x:c>
      <x:c r="E10" s="7" t="str">
        <x:f>'MASTER_QUEUE'!E69</x:f>
        <x:v>https://www.linkedin.com/company/analytixsolutions</x:v>
      </x:c>
      <x:c r="F10" s="7" t="str">
        <x:f>'MASTER_QUEUE'!F69</x:f>
        <x:v>https://www.analytix.com/</x:v>
      </x:c>
      <x:c r="G10" t="str">
        <x:f>'MASTER_QUEUE'!G69</x:f>
        <x:v>Woburn</x:v>
      </x:c>
      <x:c r="H10" s="8" t="str">
        <x:f>'MASTER_QUEUE'!H69</x:f>
        <x:v>Prospeo</x:v>
      </x:c>
      <x:c r="I10" s="8" t="str">
        <x:f>'MASTER_QUEUE'!I69</x:f>
        <x:v>Not Started</x:v>
      </x:c>
      <x:c r="J10" s="8" t="str">
        <x:f>'MASTER_QUEUE'!J69</x:f>
        <x:v>LARGE_TECH_PROFESSIONAL</x:v>
      </x:c>
      <x:c r="K10" s="7" t="str">
        <x:f>'MASTER_QUEUE'!K69</x:f>
        <x:v>L&amp;D Director &gt; People Operations Director &gt; Talent Development Director &gt; Organizational Development Director &gt; HR Director &gt; VP of People</x:v>
      </x:c>
    </x:row>
    <x:row r="11" ht="42" customHeight="1">
      <x:c r="A11" t="str">
        <x:f>'MASTER_QUEUE'!A70</x:f>
        <x:v>ARC Technologies</x:v>
      </x:c>
      <x:c r="B11" t="str">
        <x:f>'MASTER_QUEUE'!B70</x:f>
        <x:v>Advanced Materials Manufacturing</x:v>
      </x:c>
      <x:c r="C11" s="12" t="n">
        <x:f>'MASTER_QUEUE'!C70</x:f>
        <x:v>122</x:v>
      </x:c>
      <x:c r="D11" s="13" t="str">
        <x:f>'MASTER_QUEUE'!D70</x:f>
        <x:v>51-200</x:v>
      </x:c>
      <x:c r="E11" s="7" t="str">
        <x:f>'MASTER_QUEUE'!E70</x:f>
        <x:v>https://www.linkedin.com/company/arc-technologies-inc</x:v>
      </x:c>
      <x:c r="F11" s="7" t="str">
        <x:f>'MASTER_QUEUE'!F70</x:f>
        <x:v>https://www.arc-tech.com/</x:v>
      </x:c>
      <x:c r="G11" t="str">
        <x:f>'MASTER_QUEUE'!G70</x:f>
        <x:v>Amesbury</x:v>
      </x:c>
      <x:c r="H11" s="8" t="str">
        <x:f>'MASTER_QUEUE'!H70</x:f>
        <x:v>Prospeo</x:v>
      </x:c>
      <x:c r="I11" s="8" t="str">
        <x:f>'MASTER_QUEUE'!I70</x:f>
        <x:v>Not Started</x:v>
      </x:c>
      <x:c r="J11" s="8" t="str">
        <x:f>'MASTER_QUEUE'!J70</x:f>
        <x:v>MID_MANUFACTURING</x:v>
      </x:c>
      <x:c r="K11" s="7" t="str">
        <x:f>'MASTER_QUEUE'!K70</x:f>
        <x:v>Plant Manager &gt; Operations Director &gt; HR Director &gt; Training Manager &gt; Safety Manager &gt; President &gt; CEO</x:v>
      </x:c>
    </x:row>
    <x:row r="12" ht="42" customHeight="1">
      <x:c r="A12" t="str">
        <x:f>'MASTER_QUEUE'!A71</x:f>
        <x:v>ARCH Medical &amp; Aerospace- Woburn</x:v>
      </x:c>
      <x:c r="B12" t="str">
        <x:f>'MASTER_QUEUE'!B71</x:f>
        <x:v>Medical Device Manufacturing</x:v>
      </x:c>
      <x:c r="C12" s="12" t="n">
        <x:f>'MASTER_QUEUE'!C71</x:f>
        <x:v>286</x:v>
      </x:c>
      <x:c r="D12" s="13" t="str">
        <x:f>'MASTER_QUEUE'!D71</x:f>
        <x:v>1,001-5,000</x:v>
      </x:c>
      <x:c r="E12" s="7" t="str">
        <x:f>'MASTER_QUEUE'!E71</x:f>
        <x:v>https://www.linkedin.com/company/arch-medical-solutions</x:v>
      </x:c>
      <x:c r="F12" s="7" t="str">
        <x:f>'MASTER_QUEUE'!F71</x:f>
        <x:v>https://arch-medical.com/</x:v>
      </x:c>
      <x:c r="G12" t="str">
        <x:f>'MASTER_QUEUE'!G71</x:f>
        <x:v>Woburn</x:v>
      </x:c>
      <x:c r="H12" s="8" t="str">
        <x:f>'MASTER_QUEUE'!H71</x:f>
        <x:v>Prospeo</x:v>
      </x:c>
      <x:c r="I12" s="8" t="str">
        <x:f>'MASTER_QUEUE'!I71</x:f>
        <x:v>Not Started</x:v>
      </x:c>
      <x:c r="J12" s="8" t="str">
        <x:f>'MASTER_QUEUE'!J71</x:f>
        <x:v>ENTERPRISE_MANUFACTURING</x:v>
      </x:c>
      <x:c r="K12" s="7" t="str">
        <x:f>'MASTER_QUEUE'!K71</x:f>
        <x:v>Plant Manager &gt; Training Director &gt; L&amp;D Director &gt; Workforce Development Director &gt; Operations Director &gt; HR Director &gt; VP of HR</x:v>
      </x:c>
    </x:row>
    <x:row r="13" ht="42" customHeight="1">
      <x:c r="A13" t="str">
        <x:f>'MASTER_QUEUE'!A72</x:f>
        <x:v>Asahi/America</x:v>
      </x:c>
      <x:c r="B13" t="str">
        <x:f>'MASTER_QUEUE'!B72</x:f>
        <x:v>Plastics Manufacturing</x:v>
      </x:c>
      <x:c r="C13" s="12" t="n">
        <x:f>'MASTER_QUEUE'!C72</x:f>
        <x:v>136</x:v>
      </x:c>
      <x:c r="D13" s="13" t="str">
        <x:f>'MASTER_QUEUE'!D72</x:f>
        <x:v>201-500</x:v>
      </x:c>
      <x:c r="E13" s="7" t="str">
        <x:f>'MASTER_QUEUE'!E72</x:f>
        <x:v>https://www.linkedin.com/company/asahi-america</x:v>
      </x:c>
      <x:c r="F13" s="7" t="str">
        <x:f>'MASTER_QUEUE'!F72</x:f>
        <x:v>https://www.asahi-america.com/</x:v>
      </x:c>
      <x:c r="G13" t="str">
        <x:f>'MASTER_QUEUE'!G72</x:f>
        <x:v>Lawrence</x:v>
      </x:c>
      <x:c r="H13" s="8" t="str">
        <x:f>'MASTER_QUEUE'!H72</x:f>
        <x:v>Prospeo</x:v>
      </x:c>
      <x:c r="I13" s="8" t="str">
        <x:f>'MASTER_QUEUE'!I72</x:f>
        <x:v>Not Started</x:v>
      </x:c>
      <x:c r="J13" s="8" t="str">
        <x:f>'MASTER_QUEUE'!J72</x:f>
        <x:v>LARGE_MANUFACTURING</x:v>
      </x:c>
      <x:c r="K13" s="7" t="str">
        <x:f>'MASTER_QUEUE'!K72</x:f>
        <x:v>Plant Manager &gt; Operations Director &gt; Training Director &gt; L&amp;D Director &gt; HR Director &gt; Safety Director &gt; VP of Operations</x:v>
      </x:c>
    </x:row>
    <x:row r="14" ht="42" customHeight="1">
      <x:c r="A14" t="str">
        <x:f>'MASTER_QUEUE'!A73</x:f>
        <x:v>ASMPT</x:v>
      </x:c>
      <x:c r="B14" t="str">
        <x:f>'MASTER_QUEUE'!B73</x:f>
        <x:v>Semiconductor Equipment Manufacturing</x:v>
      </x:c>
      <x:c r="C14" s="12" t="n">
        <x:f>'MASTER_QUEUE'!C73</x:f>
        <x:v>1782</x:v>
      </x:c>
      <x:c r="D14" s="13" t="str">
        <x:f>'MASTER_QUEUE'!D73</x:f>
        <x:v>10,001+</x:v>
      </x:c>
      <x:c r="E14" s="7" t="str">
        <x:f>'MASTER_QUEUE'!E73</x:f>
        <x:v>https://www.linkedin.com/company/asmpt</x:v>
      </x:c>
      <x:c r="F14" s="7" t="str">
        <x:f>'MASTER_QUEUE'!F73</x:f>
        <x:v>https://www.asmpt.com/</x:v>
      </x:c>
      <x:c r="G14" t="str">
        <x:f>'MASTER_QUEUE'!G73</x:f>
        <x:v>Billerica</x:v>
      </x:c>
      <x:c r="H14" s="8" t="str">
        <x:f>'MASTER_QUEUE'!H73</x:f>
        <x:v>Prospeo</x:v>
      </x:c>
      <x:c r="I14" s="8" t="str">
        <x:f>'MASTER_QUEUE'!I73</x:f>
        <x:v>Not Started</x:v>
      </x:c>
      <x:c r="J14" s="8" t="str">
        <x:f>'MASTER_QUEUE'!J73</x:f>
        <x:v>ENTERPRISE_MANUFACTURING</x:v>
      </x:c>
      <x:c r="K14" s="7" t="str">
        <x:f>'MASTER_QUEUE'!K73</x:f>
        <x:v>Plant Manager &gt; Training Director &gt; L&amp;D Director &gt; Workforce Development Director &gt; Operations Director &gt; HR Director &gt; VP of HR</x:v>
      </x:c>
    </x:row>
    <x:row r="15" ht="42" customHeight="1">
      <x:c r="A15" t="str">
        <x:f>'MASTER_QUEUE'!A74</x:f>
        <x:v>Associates of Cape Cod Inc.</x:v>
      </x:c>
      <x:c r="B15" t="str">
        <x:f>'MASTER_QUEUE'!B74</x:f>
        <x:v>Biotechnology</x:v>
      </x:c>
      <x:c r="C15" s="12" t="n">
        <x:f>'MASTER_QUEUE'!C74</x:f>
        <x:v>302</x:v>
      </x:c>
      <x:c r="D15" s="13" t="str">
        <x:f>'MASTER_QUEUE'!D74</x:f>
        <x:v>201-500</x:v>
      </x:c>
      <x:c r="E15" s="7" t="str">
        <x:f>'MASTER_QUEUE'!E74</x:f>
        <x:v>https://www.linkedin.com/company/associates-of-cape-cod</x:v>
      </x:c>
      <x:c r="F15" s="7" t="str">
        <x:f>'MASTER_QUEUE'!F74</x:f>
        <x:v>https://acciusa.com/</x:v>
      </x:c>
      <x:c r="G15" t="str">
        <x:f>'MASTER_QUEUE'!G74</x:f>
        <x:v>East Falmouth</x:v>
      </x:c>
      <x:c r="H15" s="8" t="str">
        <x:f>'MASTER_QUEUE'!H74</x:f>
        <x:v>Prospeo</x:v>
      </x:c>
      <x:c r="I15" s="8" t="str">
        <x:f>'MASTER_QUEUE'!I74</x:f>
        <x:v>Not Started</x:v>
      </x:c>
      <x:c r="J15" s="8" t="str">
        <x:f>'MASTER_QUEUE'!J74</x:f>
        <x:v>LARGE_TECH_PROFESSIONAL</x:v>
      </x:c>
      <x:c r="K15" s="7" t="str">
        <x:f>'MASTER_QUEUE'!K74</x:f>
        <x:v>L&amp;D Director &gt; People Operations Director &gt; Talent Development Director &gt; Organizational Development Director &gt; HR Director &gt; VP of People</x:v>
      </x:c>
    </x:row>
    <x:row r="16" ht="42" customHeight="1">
      <x:c r="A16" t="str">
        <x:f>'MASTER_QUEUE'!A75</x:f>
        <x:v>Atrenne Computing Solutions</x:v>
      </x:c>
      <x:c r="B16" t="str">
        <x:f>'MASTER_QUEUE'!B75</x:f>
        <x:v>Computer Hardware Manufacturing</x:v>
      </x:c>
      <x:c r="C16" s="12" t="n">
        <x:f>'MASTER_QUEUE'!C75</x:f>
        <x:v>78</x:v>
      </x:c>
      <x:c r="D16" s="13" t="str">
        <x:f>'MASTER_QUEUE'!D75</x:f>
        <x:v>201-500</x:v>
      </x:c>
      <x:c r="E16" s="7" t="str">
        <x:f>'MASTER_QUEUE'!E75</x:f>
        <x:v>https://www.linkedin.com/company/atrenne</x:v>
      </x:c>
      <x:c r="F16" s="7" t="str">
        <x:f>'MASTER_QUEUE'!F75</x:f>
        <x:v>https://www.atrenne.com/</x:v>
      </x:c>
      <x:c r="G16" t="str">
        <x:f>'MASTER_QUEUE'!G75</x:f>
        <x:v>Brockton</x:v>
      </x:c>
      <x:c r="H16" s="8" t="str">
        <x:f>'MASTER_QUEUE'!H75</x:f>
        <x:v>Prospeo</x:v>
      </x:c>
      <x:c r="I16" s="8" t="str">
        <x:f>'MASTER_QUEUE'!I75</x:f>
        <x:v>Not Started</x:v>
      </x:c>
      <x:c r="J16" s="8" t="str">
        <x:f>'MASTER_QUEUE'!J75</x:f>
        <x:v>LARGE_MANUFACTURING</x:v>
      </x:c>
      <x:c r="K16" s="7" t="str">
        <x:f>'MASTER_QUEUE'!K75</x:f>
        <x:v>Plant Manager &gt; Operations Director &gt; Training Director &gt; L&amp;D Director &gt; HR Director &gt; Safety Director &gt; VP of Operations</x:v>
      </x:c>
    </x:row>
    <x:row r="17" ht="42" customHeight="1">
      <x:c r="A17" t="str">
        <x:f>'MASTER_QUEUE'!A76</x:f>
        <x:v>Avid Engineers</x:v>
      </x:c>
      <x:c r="B17" t="str">
        <x:f>'MASTER_QUEUE'!B76</x:f>
        <x:v>Engineering Services</x:v>
      </x:c>
      <x:c r="C17" s="12" t="n">
        <x:f>'MASTER_QUEUE'!C76</x:f>
        <x:v>62</x:v>
      </x:c>
      <x:c r="D17" s="13" t="str">
        <x:f>'MASTER_QUEUE'!D76</x:f>
        <x:v>11-50</x:v>
      </x:c>
      <x:c r="E17" s="7" t="str">
        <x:f>'MASTER_QUEUE'!E76</x:f>
        <x:v>https://www.linkedin.com/company/avid-engineers</x:v>
      </x:c>
      <x:c r="F17" s="7" t="str">
        <x:f>'MASTER_QUEUE'!F76</x:f>
        <x:v>https://avidengineers.com/</x:v>
      </x:c>
      <x:c r="G17" t="str">
        <x:f>'MASTER_QUEUE'!G76</x:f>
        <x:v>Boston</x:v>
      </x:c>
      <x:c r="H17" s="8" t="str">
        <x:f>'MASTER_QUEUE'!H76</x:f>
        <x:v>Prospeo</x:v>
      </x:c>
      <x:c r="I17" s="8" t="str">
        <x:f>'MASTER_QUEUE'!I76</x:f>
        <x:v>Not Started</x:v>
      </x:c>
      <x:c r="J17" s="8" t="str">
        <x:f>'MASTER_QUEUE'!J76</x:f>
        <x:v>MID_TECH_PROFESSIONAL</x:v>
      </x:c>
      <x:c r="K17" s="7" t="str">
        <x:f>'MASTER_QUEUE'!K76</x:f>
        <x:v>People Operations Director &gt; HR Director &gt; L&amp;D Manager &gt; Talent Development Manager &gt; Operations Director &gt; Managing Partner &gt; CEO</x:v>
      </x:c>
    </x:row>
    <x:row r="18" ht="42" customHeight="1">
      <x:c r="A18" t="str">
        <x:f>'MASTER_QUEUE'!A77</x:f>
        <x:v>B &amp; E Tool Company Inc</x:v>
      </x:c>
      <x:c r="B18" t="str">
        <x:f>'MASTER_QUEUE'!B77</x:f>
        <x:v>Precision Manufacturing</x:v>
      </x:c>
      <x:c r="C18" s="12" t="str">
        <x:f>'MASTER_QUEUE'!C77</x:f>
        <x:v>Not visible</x:v>
      </x:c>
      <x:c r="D18" s="13" t="str">
        <x:f>'MASTER_QUEUE'!D77</x:f>
        <x:v>Not visible</x:v>
      </x:c>
      <x:c r="E18" s="7" t="str">
        <x:f>'MASTER_QUEUE'!E77</x:f>
        <x:v>Not verified</x:v>
      </x:c>
      <x:c r="F18" s="7" t="str">
        <x:f>'MASTER_QUEUE'!F77</x:f>
        <x:v>https://www.kineticengines.com/</x:v>
      </x:c>
      <x:c r="G18" t="str">
        <x:f>'MASTER_QUEUE'!G77</x:f>
        <x:v>Westfield</x:v>
      </x:c>
      <x:c r="H18" s="8" t="str">
        <x:f>'MASTER_QUEUE'!H77</x:f>
        <x:v>Prospeo</x:v>
      </x:c>
      <x:c r="I18" s="8" t="str">
        <x:f>'MASTER_QUEUE'!I77</x:f>
        <x:v>Not Started</x:v>
      </x:c>
      <x:c r="J18" s="8" t="str">
        <x:f>'MASTER_QUEUE'!J77</x:f>
        <x:v>UNKNOWN_MANUFACTURING</x:v>
      </x:c>
      <x:c r="K18" s="7" t="str">
        <x:f>'MASTER_QUEUE'!K77</x:f>
        <x:v>Owner &gt; President &gt; CEO &gt; Plant Manager &gt; Operations Director &gt; Training Manager &gt; HR Director</x:v>
      </x:c>
    </x:row>
    <x:row r="19" ht="42" customHeight="1">
      <x:c r="A19" t="str">
        <x:f>'MASTER_QUEUE'!A78</x:f>
        <x:v>Backer Hotwatt</x:v>
      </x:c>
      <x:c r="B19" t="str">
        <x:f>'MASTER_QUEUE'!B78</x:f>
        <x:v>Electrical Equipment Manufacturing</x:v>
      </x:c>
      <x:c r="C19" s="12" t="n">
        <x:f>'MASTER_QUEUE'!C78</x:f>
        <x:v>44</x:v>
      </x:c>
      <x:c r="D19" s="13" t="str">
        <x:f>'MASTER_QUEUE'!D78</x:f>
        <x:v>51-200</x:v>
      </x:c>
      <x:c r="E19" s="7" t="str">
        <x:f>'MASTER_QUEUE'!E78</x:f>
        <x:v>https://www.linkedin.com/company/backer-hotwatt</x:v>
      </x:c>
      <x:c r="F19" s="7" t="str">
        <x:f>'MASTER_QUEUE'!F78</x:f>
        <x:v>https://www.hotwatt.com/</x:v>
      </x:c>
      <x:c r="G19" t="str">
        <x:f>'MASTER_QUEUE'!G78</x:f>
        <x:v>Danvers</x:v>
      </x:c>
      <x:c r="H19" s="8" t="str">
        <x:f>'MASTER_QUEUE'!H78</x:f>
        <x:v>Prospeo</x:v>
      </x:c>
      <x:c r="I19" s="8" t="str">
        <x:f>'MASTER_QUEUE'!I78</x:f>
        <x:v>Not Started</x:v>
      </x:c>
      <x:c r="J19" s="8" t="str">
        <x:f>'MASTER_QUEUE'!J78</x:f>
        <x:v>MID_MANUFACTURING</x:v>
      </x:c>
      <x:c r="K19" s="7" t="str">
        <x:f>'MASTER_QUEUE'!K78</x:f>
        <x:v>Plant Manager &gt; Operations Director &gt; HR Director &gt; Training Manager &gt; Safety Manager &gt; President &gt; CEO</x:v>
      </x:c>
    </x:row>
    <x:row r="20" ht="42" customHeight="1">
      <x:c r="A20" t="str">
        <x:f>'MASTER_QUEUE'!A79</x:f>
        <x:v>Bake-N-Joy Foods</x:v>
      </x:c>
      <x:c r="B20" t="str">
        <x:f>'MASTER_QUEUE'!B79</x:f>
        <x:v>Food Manufacturing</x:v>
      </x:c>
      <x:c r="C20" s="12" t="n">
        <x:f>'MASTER_QUEUE'!C79</x:f>
        <x:v>159</x:v>
      </x:c>
      <x:c r="D20" s="13" t="str">
        <x:f>'MASTER_QUEUE'!D79</x:f>
        <x:v>201-500</x:v>
      </x:c>
      <x:c r="E20" s="7" t="str">
        <x:f>'MASTER_QUEUE'!E79</x:f>
        <x:v>https://www.linkedin.com/company/bake%27n-joy-foods-inc.</x:v>
      </x:c>
      <x:c r="F20" s="7" t="str">
        <x:f>'MASTER_QUEUE'!F79</x:f>
        <x:v>https://www.bakenjoy.com/</x:v>
      </x:c>
      <x:c r="G20" t="str">
        <x:f>'MASTER_QUEUE'!G79</x:f>
        <x:v>North Andover</x:v>
      </x:c>
      <x:c r="H20" s="8" t="str">
        <x:f>'MASTER_QUEUE'!H79</x:f>
        <x:v>Prospeo</x:v>
      </x:c>
      <x:c r="I20" s="8" t="str">
        <x:f>'MASTER_QUEUE'!I79</x:f>
        <x:v>Not Started</x:v>
      </x:c>
      <x:c r="J20" s="8" t="str">
        <x:f>'MASTER_QUEUE'!J79</x:f>
        <x:v>LARGE_MANUFACTURING</x:v>
      </x:c>
      <x:c r="K20" s="7" t="str">
        <x:f>'MASTER_QUEUE'!K79</x:f>
        <x:v>Plant Manager &gt; Operations Director &gt; Training Director &gt; L&amp;D Director &gt; HR Director &gt; Safety Director &gt; VP of Operations</x:v>
      </x:c>
    </x:row>
    <x:row r="21" ht="42" customHeight="1">
      <x:c r="A21" t="str">
        <x:f>'MASTER_QUEUE'!A80</x:f>
        <x:v>Bertolino Foods</x:v>
      </x:c>
      <x:c r="B21" t="str">
        <x:f>'MASTER_QUEUE'!B80</x:f>
        <x:v>Food Manufacturing</x:v>
      </x:c>
      <x:c r="C21" s="12" t="n">
        <x:f>'MASTER_QUEUE'!C80</x:f>
        <x:v>54</x:v>
      </x:c>
      <x:c r="D21" s="13" t="str">
        <x:f>'MASTER_QUEUE'!D80</x:f>
        <x:v>51-200</x:v>
      </x:c>
      <x:c r="E21" s="7" t="str">
        <x:f>'MASTER_QUEUE'!E80</x:f>
        <x:v>https://www.linkedin.com/company/bertolino-foods</x:v>
      </x:c>
      <x:c r="F21" s="7" t="str">
        <x:f>'MASTER_QUEUE'!F80</x:f>
        <x:v>https://bertolinofoods.com/</x:v>
      </x:c>
      <x:c r="G21" t="str">
        <x:f>'MASTER_QUEUE'!G80</x:f>
        <x:v>Peabody</x:v>
      </x:c>
      <x:c r="H21" s="8" t="str">
        <x:f>'MASTER_QUEUE'!H80</x:f>
        <x:v>Prospeo</x:v>
      </x:c>
      <x:c r="I21" s="8" t="str">
        <x:f>'MASTER_QUEUE'!I80</x:f>
        <x:v>Not Started</x:v>
      </x:c>
      <x:c r="J21" s="8" t="str">
        <x:f>'MASTER_QUEUE'!J80</x:f>
        <x:v>MID_MANUFACTURING</x:v>
      </x:c>
      <x:c r="K21" s="7" t="str">
        <x:f>'MASTER_QUEUE'!K80</x:f>
        <x:v>Plant Manager &gt; Operations Director &gt; HR Director &gt; Training Manager &gt; Safety Manager &gt; President &gt; CEO</x:v>
      </x:c>
    </x:row>
    <x:row r="22" ht="42" customHeight="1">
      <x:c r="A22" t="str">
        <x:f>'MASTER_QUEUE'!A81</x:f>
        <x:v>Bevi</x:v>
      </x:c>
      <x:c r="B22" t="str">
        <x:f>'MASTER_QUEUE'!B81</x:f>
        <x:v>Beverage Equipment &amp; Technology</x:v>
      </x:c>
      <x:c r="C22" s="12" t="n">
        <x:f>'MASTER_QUEUE'!C81</x:f>
        <x:v>403</x:v>
      </x:c>
      <x:c r="D22" s="13" t="str">
        <x:f>'MASTER_QUEUE'!D81</x:f>
        <x:v>201-500</x:v>
      </x:c>
      <x:c r="E22" s="7" t="str">
        <x:f>'MASTER_QUEUE'!E81</x:f>
        <x:v>https://www.linkedin.com/company/bevi</x:v>
      </x:c>
      <x:c r="F22" s="7" t="str">
        <x:f>'MASTER_QUEUE'!F81</x:f>
        <x:v>https://bevi.co/</x:v>
      </x:c>
      <x:c r="G22" t="str">
        <x:f>'MASTER_QUEUE'!G81</x:f>
        <x:v>Boston</x:v>
      </x:c>
      <x:c r="H22" s="8" t="str">
        <x:f>'MASTER_QUEUE'!H81</x:f>
        <x:v>Prospeo</x:v>
      </x:c>
      <x:c r="I22" s="8" t="str">
        <x:f>'MASTER_QUEUE'!I81</x:f>
        <x:v>Not Started</x:v>
      </x:c>
      <x:c r="J22" s="8" t="str">
        <x:f>'MASTER_QUEUE'!J81</x:f>
        <x:v>LARGE_MANUFACTURING</x:v>
      </x:c>
      <x:c r="K22" s="7" t="str">
        <x:f>'MASTER_QUEUE'!K81</x:f>
        <x:v>Plant Manager &gt; Operations Director &gt; Training Director &gt; L&amp;D Director &gt; HR Director &gt; Safety Director &gt; VP of Operations</x:v>
      </x:c>
    </x:row>
    <x:row r="23" ht="42" customHeight="1">
      <x:c r="A23" t="str">
        <x:f>'MASTER_QUEUE'!A82</x:f>
        <x:v>Blackbird Doughnuts &amp; Sally's Sandwiches</x:v>
      </x:c>
      <x:c r="B23" t="str">
        <x:f>'MASTER_QUEUE'!B82</x:f>
        <x:v>Restaurants</x:v>
      </x:c>
      <x:c r="C23" s="12" t="n">
        <x:f>'MASTER_QUEUE'!C82</x:f>
        <x:v>4</x:v>
      </x:c>
      <x:c r="D23" s="13" t="str">
        <x:f>'MASTER_QUEUE'!D82</x:f>
        <x:v>11-50</x:v>
      </x:c>
      <x:c r="E23" s="7" t="str">
        <x:f>'MASTER_QUEUE'!E82</x:f>
        <x:v>https://www.linkedin.com/company/blackbird-doughnuts</x:v>
      </x:c>
      <x:c r="F23" s="7" t="str">
        <x:f>'MASTER_QUEUE'!F82</x:f>
        <x:v>https://www.blackbirddoughnuts.com/; https://www.sallyssandwiches.com/</x:v>
      </x:c>
      <x:c r="G23" t="str">
        <x:f>'MASTER_QUEUE'!G82</x:f>
        <x:v>Boston</x:v>
      </x:c>
      <x:c r="H23" s="8" t="str">
        <x:f>'MASTER_QUEUE'!H82</x:f>
        <x:v>Prospeo</x:v>
      </x:c>
      <x:c r="I23" s="8" t="str">
        <x:f>'MASTER_QUEUE'!I82</x:f>
        <x:v>Not Started</x:v>
      </x:c>
      <x:c r="J23" s="8" t="str">
        <x:f>'MASTER_QUEUE'!J82</x:f>
        <x:v>SMALL_HOSPITALITY_RETAIL</x:v>
      </x:c>
      <x:c r="K23" s="7" t="str">
        <x:f>'MASTER_QUEUE'!K82</x:f>
        <x:v>Owner &gt; Founder &gt; Co-Founder &gt; President &gt; CEO &gt; General Manager &gt; Operations Manager &gt; Training Manager &gt; HR Manager</x:v>
      </x:c>
    </x:row>
    <x:row r="24" ht="42" customHeight="1">
      <x:c r="A24" t="str">
        <x:f>'MASTER_QUEUE'!A83</x:f>
        <x:v>Blue Q Corporation</x:v>
      </x:c>
      <x:c r="B24" t="str">
        <x:f>'MASTER_QUEUE'!B83</x:f>
        <x:v>Consumer Products Manufacturing</x:v>
      </x:c>
      <x:c r="C24" s="12" t="n">
        <x:f>'MASTER_QUEUE'!C83</x:f>
        <x:v>28</x:v>
      </x:c>
      <x:c r="D24" s="13" t="str">
        <x:f>'MASTER_QUEUE'!D83</x:f>
        <x:v>51-200</x:v>
      </x:c>
      <x:c r="E24" s="7" t="str">
        <x:f>'MASTER_QUEUE'!E83</x:f>
        <x:v>https://www.linkedin.com/company/blue-q</x:v>
      </x:c>
      <x:c r="F24" s="7" t="str">
        <x:f>'MASTER_QUEUE'!F83</x:f>
        <x:v>https://www.blueq.com/</x:v>
      </x:c>
      <x:c r="G24" t="str">
        <x:f>'MASTER_QUEUE'!G83</x:f>
        <x:v>Pittsfield</x:v>
      </x:c>
      <x:c r="H24" s="8" t="str">
        <x:f>'MASTER_QUEUE'!H83</x:f>
        <x:v>Prospeo</x:v>
      </x:c>
      <x:c r="I24" s="8" t="str">
        <x:f>'MASTER_QUEUE'!I83</x:f>
        <x:v>Not Started</x:v>
      </x:c>
      <x:c r="J24" s="8" t="str">
        <x:f>'MASTER_QUEUE'!J83</x:f>
        <x:v>MID_MANUFACTURING</x:v>
      </x:c>
      <x:c r="K24" s="7" t="str">
        <x:f>'MASTER_QUEUE'!K83</x:f>
        <x:v>Plant Manager &gt; Operations Director &gt; HR Director &gt; Training Manager &gt; Safety Manager &gt; President &gt; CEO</x:v>
      </x:c>
    </x:row>
    <x:row r="25" ht="42" customHeight="1">
      <x:c r="A25" t="str">
        <x:f>'MASTER_QUEUE'!A84</x:f>
        <x:v>Bon Me Foods</x:v>
      </x:c>
      <x:c r="B25" t="str">
        <x:f>'MASTER_QUEUE'!B84</x:f>
        <x:v>Restaurants</x:v>
      </x:c>
      <x:c r="C25" s="12" t="n">
        <x:f>'MASTER_QUEUE'!C84</x:f>
        <x:v>34</x:v>
      </x:c>
      <x:c r="D25" s="13" t="str">
        <x:f>'MASTER_QUEUE'!D84</x:f>
        <x:v>51-200</x:v>
      </x:c>
      <x:c r="E25" s="7" t="str">
        <x:f>'MASTER_QUEUE'!E84</x:f>
        <x:v>https://www.linkedin.com/company/bon-me</x:v>
      </x:c>
      <x:c r="F25" s="7" t="str">
        <x:f>'MASTER_QUEUE'!F84</x:f>
        <x:v>https://www.bonmetruck.com/</x:v>
      </x:c>
      <x:c r="G25" t="str">
        <x:f>'MASTER_QUEUE'!G84</x:f>
        <x:v>Boston</x:v>
      </x:c>
      <x:c r="H25" s="8" t="str">
        <x:f>'MASTER_QUEUE'!H84</x:f>
        <x:v>Prospeo</x:v>
      </x:c>
      <x:c r="I25" s="8" t="str">
        <x:f>'MASTER_QUEUE'!I84</x:f>
        <x:v>Not Started</x:v>
      </x:c>
      <x:c r="J25" s="8" t="str">
        <x:f>'MASTER_QUEUE'!J84</x:f>
        <x:v>MID_HOSPITALITY_RETAIL</x:v>
      </x:c>
      <x:c r="K25" s="7" t="str">
        <x:f>'MASTER_QUEUE'!K84</x:f>
        <x:v>General Manager &gt; Operations Director &gt; Training Director &gt; Training Manager &gt; HR Director &gt; Regional Manager &gt; President &gt; CEO</x:v>
      </x:c>
    </x:row>
    <x:row r="26" ht="42" customHeight="1">
      <x:c r="A26" t="str">
        <x:f>'MASTER_QUEUE'!A85</x:f>
        <x:v>Borg Design</x:v>
      </x:c>
      <x:c r="B26" t="str">
        <x:f>'MASTER_QUEUE'!B85</x:f>
        <x:v>Precision Manufacturing</x:v>
      </x:c>
      <x:c r="C26" s="12" t="n">
        <x:f>'MASTER_QUEUE'!C85</x:f>
        <x:v>26</x:v>
      </x:c>
      <x:c r="D26" s="13" t="str">
        <x:f>'MASTER_QUEUE'!D85</x:f>
        <x:v>11-50</x:v>
      </x:c>
      <x:c r="E26" s="7" t="str">
        <x:f>'MASTER_QUEUE'!E85</x:f>
        <x:v>https://www.linkedin.com/company/borg-design-inc</x:v>
      </x:c>
      <x:c r="F26" s="7" t="str">
        <x:f>'MASTER_QUEUE'!F85</x:f>
        <x:v>https://www.borgdesign.com/</x:v>
      </x:c>
      <x:c r="G26" t="str">
        <x:f>'MASTER_QUEUE'!G85</x:f>
        <x:v>Hudson</x:v>
      </x:c>
      <x:c r="H26" s="8" t="str">
        <x:f>'MASTER_QUEUE'!H85</x:f>
        <x:v>Prospeo</x:v>
      </x:c>
      <x:c r="I26" s="8" t="str">
        <x:f>'MASTER_QUEUE'!I85</x:f>
        <x:v>Not Started</x:v>
      </x:c>
      <x:c r="J26" s="8" t="str">
        <x:f>'MASTER_QUEUE'!J85</x:f>
        <x:v>SMALL_MANUFACTURING</x:v>
      </x:c>
      <x:c r="K26" s="7" t="str">
        <x:f>'MASTER_QUEUE'!K85</x:f>
        <x:v>Owner &gt; Founder &gt; Co-Founder &gt; President &gt; CEO &gt; Plant Manager &gt; Operations Manager &gt; Training Manager &gt; HR Manager</x:v>
      </x:c>
    </x:row>
    <x:row r="27" ht="42" customHeight="1">
      <x:c r="A27" t="str">
        <x:f>'MASTER_QUEUE'!A86</x:f>
        <x:v>Boston Centerless</x:v>
      </x:c>
      <x:c r="B27" t="str">
        <x:f>'MASTER_QUEUE'!B86</x:f>
        <x:v>Precision Metals Manufacturing</x:v>
      </x:c>
      <x:c r="C27" s="12" t="n">
        <x:f>'MASTER_QUEUE'!C86</x:f>
        <x:v>69</x:v>
      </x:c>
      <x:c r="D27" s="13" t="str">
        <x:f>'MASTER_QUEUE'!D86</x:f>
        <x:v>51-200</x:v>
      </x:c>
      <x:c r="E27" s="7" t="str">
        <x:f>'MASTER_QUEUE'!E86</x:f>
        <x:v>https://www.linkedin.com/company/boston-centerless</x:v>
      </x:c>
      <x:c r="F27" s="7" t="str">
        <x:f>'MASTER_QUEUE'!F86</x:f>
        <x:v>https://www.bostoncenterless.com/</x:v>
      </x:c>
      <x:c r="G27" t="str">
        <x:f>'MASTER_QUEUE'!G86</x:f>
        <x:v>Woburn</x:v>
      </x:c>
      <x:c r="H27" s="8" t="str">
        <x:f>'MASTER_QUEUE'!H86</x:f>
        <x:v>Prospeo</x:v>
      </x:c>
      <x:c r="I27" s="8" t="str">
        <x:f>'MASTER_QUEUE'!I86</x:f>
        <x:v>Not Started</x:v>
      </x:c>
      <x:c r="J27" s="8" t="str">
        <x:f>'MASTER_QUEUE'!J86</x:f>
        <x:v>MID_MANUFACTURING</x:v>
      </x:c>
      <x:c r="K27" s="7" t="str">
        <x:f>'MASTER_QUEUE'!K86</x:f>
        <x:v>Plant Manager &gt; Operations Director &gt; HR Director &gt; Training Manager &gt; Safety Manager &gt; President &gt; CEO</x:v>
      </x:c>
    </x:row>
    <x:row r="28" ht="42" customHeight="1">
      <x:c r="A28" t="str">
        <x:f>'MASTER_QUEUE'!A87</x:f>
        <x:v>Boulevard Machine &amp; Gear</x:v>
      </x:c>
      <x:c r="B28" t="str">
        <x:f>'MASTER_QUEUE'!B87</x:f>
        <x:v>Machinery Manufacturing</x:v>
      </x:c>
      <x:c r="C28" s="12" t="n">
        <x:f>'MASTER_QUEUE'!C87</x:f>
        <x:v>10</x:v>
      </x:c>
      <x:c r="D28" s="13" t="str">
        <x:f>'MASTER_QUEUE'!D87</x:f>
        <x:v>11-50</x:v>
      </x:c>
      <x:c r="E28" s="7" t="str">
        <x:f>'MASTER_QUEUE'!E87</x:f>
        <x:v>https://www.linkedin.com/company/boulevard-machine-%26-gear-inc</x:v>
      </x:c>
      <x:c r="F28" s="7" t="str">
        <x:f>'MASTER_QUEUE'!F87</x:f>
        <x:v>https://boulevardmachine.com/</x:v>
      </x:c>
      <x:c r="G28" t="str">
        <x:f>'MASTER_QUEUE'!G87</x:f>
        <x:v>Westfield</x:v>
      </x:c>
      <x:c r="H28" s="8" t="str">
        <x:f>'MASTER_QUEUE'!H87</x:f>
        <x:v>Prospeo</x:v>
      </x:c>
      <x:c r="I28" s="8" t="str">
        <x:f>'MASTER_QUEUE'!I87</x:f>
        <x:v>Not Started</x:v>
      </x:c>
      <x:c r="J28" s="8" t="str">
        <x:f>'MASTER_QUEUE'!J87</x:f>
        <x:v>SMALL_MANUFACTURING</x:v>
      </x:c>
      <x:c r="K28" s="7" t="str">
        <x:f>'MASTER_QUEUE'!K87</x:f>
        <x:v>Owner &gt; Founder &gt; Co-Founder &gt; President &gt; CEO &gt; Plant Manager &gt; Operations Manager &gt; Training Manager &gt; HR Manager</x:v>
      </x:c>
    </x:row>
    <x:row r="29" ht="42" customHeight="1">
      <x:c r="A29" t="str">
        <x:f>'MASTER_QUEUE'!A88</x:f>
        <x:v>Brooks Automation US LLC</x:v>
      </x:c>
      <x:c r="B29" t="str">
        <x:f>'MASTER_QUEUE'!B88</x:f>
        <x:v>Automation Machinery Manufacturing</x:v>
      </x:c>
      <x:c r="C29" s="12" t="n">
        <x:f>'MASTER_QUEUE'!C88</x:f>
        <x:v>2007</x:v>
      </x:c>
      <x:c r="D29" s="13" t="str">
        <x:f>'MASTER_QUEUE'!D88</x:f>
        <x:v>1,001-5,000</x:v>
      </x:c>
      <x:c r="E29" s="7" t="str">
        <x:f>'MASTER_QUEUE'!E88</x:f>
        <x:v>https://www.linkedin.com/company/brooks-automation</x:v>
      </x:c>
      <x:c r="F29" s="7" t="str">
        <x:f>'MASTER_QUEUE'!F88</x:f>
        <x:v>https://www.brooks.com/</x:v>
      </x:c>
      <x:c r="G29" t="str">
        <x:f>'MASTER_QUEUE'!G88</x:f>
        <x:v>Chelmsford</x:v>
      </x:c>
      <x:c r="H29" s="8" t="str">
        <x:f>'MASTER_QUEUE'!H88</x:f>
        <x:v>Prospeo</x:v>
      </x:c>
      <x:c r="I29" s="8" t="str">
        <x:f>'MASTER_QUEUE'!I88</x:f>
        <x:v>Not Started</x:v>
      </x:c>
      <x:c r="J29" s="8" t="str">
        <x:f>'MASTER_QUEUE'!J88</x:f>
        <x:v>ENTERPRISE_MANUFACTURING</x:v>
      </x:c>
      <x:c r="K29" s="7" t="str">
        <x:f>'MASTER_QUEUE'!K88</x:f>
        <x:v>Plant Manager &gt; Training Director &gt; L&amp;D Director &gt; Workforce Development Director &gt; Operations Director &gt; HR Director &gt; VP of HR</x:v>
      </x:c>
    </x:row>
    <x:row r="30" ht="42" customHeight="1">
      <x:c r="A30" t="str">
        <x:f>'MASTER_QUEUE'!A89</x:f>
        <x:v>BSE Print</x:v>
      </x:c>
      <x:c r="B30" t="str">
        <x:f>'MASTER_QUEUE'!B89</x:f>
        <x:v>Printing Services</x:v>
      </x:c>
      <x:c r="C30" s="12" t="n">
        <x:f>'MASTER_QUEUE'!C89</x:f>
        <x:v>29</x:v>
      </x:c>
      <x:c r="D30" s="13" t="str">
        <x:f>'MASTER_QUEUE'!D89</x:f>
        <x:v>11-50</x:v>
      </x:c>
      <x:c r="E30" s="7" t="str">
        <x:f>'MASTER_QUEUE'!E89</x:f>
        <x:v>https://www.linkedin.com/company/bseprint</x:v>
      </x:c>
      <x:c r="F30" s="7" t="str">
        <x:f>'MASTER_QUEUE'!F89</x:f>
        <x:v>https://bseprint.com/</x:v>
      </x:c>
      <x:c r="G30" t="str">
        <x:f>'MASTER_QUEUE'!G89</x:f>
        <x:v>Mansfield</x:v>
      </x:c>
      <x:c r="H30" s="8" t="str">
        <x:f>'MASTER_QUEUE'!H89</x:f>
        <x:v>Prospeo</x:v>
      </x:c>
      <x:c r="I30" s="8" t="str">
        <x:f>'MASTER_QUEUE'!I89</x:f>
        <x:v>Not Started</x:v>
      </x:c>
      <x:c r="J30" s="8" t="str">
        <x:f>'MASTER_QUEUE'!J89</x:f>
        <x:v>SMALL_MANUFACTURING</x:v>
      </x:c>
      <x:c r="K30" s="7" t="str">
        <x:f>'MASTER_QUEUE'!K89</x:f>
        <x:v>Owner &gt; Founder &gt; Co-Founder &gt; President &gt; CEO &gt; Plant Manager &gt; Operations Manager &gt; Training Manager &gt; HR Manager</x:v>
      </x:c>
    </x:row>
    <x:row r="31" ht="42" customHeight="1">
      <x:c r="A31" t="str">
        <x:f>'MASTER_QUEUE'!A90</x:f>
        <x:v>Built Environment Plus</x:v>
      </x:c>
      <x:c r="B31" t="str">
        <x:f>'MASTER_QUEUE'!B90</x:f>
        <x:v>Green Building &amp; Sustainability</x:v>
      </x:c>
      <x:c r="C31" s="12" t="n">
        <x:f>'MASTER_QUEUE'!C90</x:f>
        <x:v>23</x:v>
      </x:c>
      <x:c r="D31" s="13" t="str">
        <x:f>'MASTER_QUEUE'!D90</x:f>
        <x:v>2-10</x:v>
      </x:c>
      <x:c r="E31" s="7" t="str">
        <x:f>'MASTER_QUEUE'!E90</x:f>
        <x:v>https://www.linkedin.com/company/builtenvironmentplus</x:v>
      </x:c>
      <x:c r="F31" s="7" t="str">
        <x:f>'MASTER_QUEUE'!F90</x:f>
        <x:v>https://www.builtenvironmentplus.com/</x:v>
      </x:c>
      <x:c r="G31" t="str">
        <x:f>'MASTER_QUEUE'!G90</x:f>
        <x:v>Somerville</x:v>
      </x:c>
      <x:c r="H31" s="8" t="str">
        <x:f>'MASTER_QUEUE'!H90</x:f>
        <x:v>Prospeo</x:v>
      </x:c>
      <x:c r="I31" s="8" t="str">
        <x:f>'MASTER_QUEUE'!I90</x:f>
        <x:v>Not Started</x:v>
      </x:c>
      <x:c r="J31" s="8" t="str">
        <x:f>'MASTER_QUEUE'!J90</x:f>
        <x:v>SMALL_CONSTRUCTION_TRADES</x:v>
      </x:c>
      <x:c r="K31" s="7" t="str">
        <x:f>'MASTER_QUEUE'!K90</x:f>
        <x:v>Owner &gt; Founder &gt; Co-Founder &gt; President &gt; CEO &gt; Operations Manager &gt; Safety Manager &gt; Training Manager &gt; HR Manager</x:v>
      </x:c>
    </x:row>
    <x:row r="32" ht="42" customHeight="1">
      <x:c r="A32" t="str">
        <x:f>'MASTER_QUEUE'!A91</x:f>
        <x:v>C&amp;W Facility Services</x:v>
      </x:c>
      <x:c r="B32" t="str">
        <x:f>'MASTER_QUEUE'!B91</x:f>
        <x:v>Facilities Services</x:v>
      </x:c>
      <x:c r="C32" s="12" t="n">
        <x:f>'MASTER_QUEUE'!C91</x:f>
        <x:v>4464</x:v>
      </x:c>
      <x:c r="D32" s="13" t="str">
        <x:f>'MASTER_QUEUE'!D91</x:f>
        <x:v>10,001+</x:v>
      </x:c>
      <x:c r="E32" s="7" t="str">
        <x:f>'MASTER_QUEUE'!E91</x:f>
        <x:v>https://www.linkedin.com/company/c%26w-services</x:v>
      </x:c>
      <x:c r="F32" s="7" t="str">
        <x:f>'MASTER_QUEUE'!F91</x:f>
        <x:v>https://cwservices.com/</x:v>
      </x:c>
      <x:c r="G32" t="str">
        <x:f>'MASTER_QUEUE'!G91</x:f>
        <x:v>Needham</x:v>
      </x:c>
      <x:c r="H32" s="8" t="str">
        <x:f>'MASTER_QUEUE'!H91</x:f>
        <x:v>Prospeo</x:v>
      </x:c>
      <x:c r="I32" s="8" t="str">
        <x:f>'MASTER_QUEUE'!I91</x:f>
        <x:v>Not Started</x:v>
      </x:c>
      <x:c r="J32" s="8" t="str">
        <x:f>'MASTER_QUEUE'!J91</x:f>
        <x:v>ENTERPRISE_REAL_ESTATE_FACILITIES</x:v>
      </x:c>
      <x:c r="K32" s="7" t="str">
        <x:f>'MASTER_QUEUE'!K91</x:f>
        <x:v>L&amp;D Director &gt; Training Director &gt; Workforce Development Director &gt; Facilities Director &gt; Operations Director &gt; HR Director</x:v>
      </x:c>
    </x:row>
    <x:row r="33" ht="42" customHeight="1">
      <x:c r="A33" t="str">
        <x:f>'MASTER_QUEUE'!A92</x:f>
        <x:v>Caring Bees Healthcare</x:v>
      </x:c>
      <x:c r="B33" t="str">
        <x:f>'MASTER_QUEUE'!B92</x:f>
        <x:v>Home Health Care Services</x:v>
      </x:c>
      <x:c r="C33" s="12" t="n">
        <x:f>'MASTER_QUEUE'!C92</x:f>
        <x:v>23</x:v>
      </x:c>
      <x:c r="D33" s="13" t="str">
        <x:f>'MASTER_QUEUE'!D92</x:f>
        <x:v>51-200</x:v>
      </x:c>
      <x:c r="E33" s="7" t="str">
        <x:f>'MASTER_QUEUE'!E92</x:f>
        <x:v>https://www.linkedin.com/company/caring-bees-healthcare</x:v>
      </x:c>
      <x:c r="F33" s="7" t="str">
        <x:f>'MASTER_QUEUE'!F92</x:f>
        <x:v>https://www.caringbeeshealthcare.com/</x:v>
      </x:c>
      <x:c r="G33" t="str">
        <x:f>'MASTER_QUEUE'!G92</x:f>
        <x:v>Boston</x:v>
      </x:c>
      <x:c r="H33" s="8" t="str">
        <x:f>'MASTER_QUEUE'!H92</x:f>
        <x:v>Prospeo</x:v>
      </x:c>
      <x:c r="I33" s="8" t="str">
        <x:f>'MASTER_QUEUE'!I92</x:f>
        <x:v>Not Started</x:v>
      </x:c>
      <x:c r="J33" s="8" t="str">
        <x:f>'MASTER_QUEUE'!J92</x:f>
        <x:v>MID_HEALTHCARE</x:v>
      </x:c>
      <x:c r="K33" s="7" t="str">
        <x:f>'MASTER_QUEUE'!K92</x:f>
        <x:v>Workforce Development Director &gt; Clinical Education Director &gt; L&amp;D Director &gt; HR Director &gt; Executive Director &gt; Operations Director</x:v>
      </x:c>
    </x:row>
    <x:row r="34" ht="42" customHeight="1">
      <x:c r="A34" t="str">
        <x:f>'MASTER_QUEUE'!A93</x:f>
        <x:v>Cartamundi East Longmeadow</x:v>
      </x:c>
      <x:c r="B34" t="str">
        <x:f>'MASTER_QUEUE'!B93</x:f>
        <x:v>Games &amp; Toys Manufacturing</x:v>
      </x:c>
      <x:c r="C34" s="12" t="n">
        <x:f>'MASTER_QUEUE'!C93</x:f>
        <x:v>732</x:v>
      </x:c>
      <x:c r="D34" s="13" t="str">
        <x:f>'MASTER_QUEUE'!D93</x:f>
        <x:v>1,001-5,000</x:v>
      </x:c>
      <x:c r="E34" s="7" t="str">
        <x:f>'MASTER_QUEUE'!E93</x:f>
        <x:v>https://www.linkedin.com/company/cartamundi</x:v>
      </x:c>
      <x:c r="F34" s="7" t="str">
        <x:f>'MASTER_QUEUE'!F93</x:f>
        <x:v>https://cartamundi.com/</x:v>
      </x:c>
      <x:c r="G34" t="str">
        <x:f>'MASTER_QUEUE'!G93</x:f>
        <x:v>East Longmeadow</x:v>
      </x:c>
      <x:c r="H34" s="8" t="str">
        <x:f>'MASTER_QUEUE'!H93</x:f>
        <x:v>Prospeo</x:v>
      </x:c>
      <x:c r="I34" s="8" t="str">
        <x:f>'MASTER_QUEUE'!I93</x:f>
        <x:v>Not Started</x:v>
      </x:c>
      <x:c r="J34" s="8" t="str">
        <x:f>'MASTER_QUEUE'!J93</x:f>
        <x:v>ENTERPRISE_MANUFACTURING</x:v>
      </x:c>
      <x:c r="K34" s="7" t="str">
        <x:f>'MASTER_QUEUE'!K93</x:f>
        <x:v>Plant Manager &gt; Training Director &gt; L&amp;D Director &gt; Workforce Development Director &gt; Operations Director &gt; HR Director &gt; VP of HR</x:v>
      </x:c>
    </x:row>
    <x:row r="35" ht="42" customHeight="1">
      <x:c r="A35" t="str">
        <x:f>'MASTER_QUEUE'!A94</x:f>
        <x:v>Catania Oils</x:v>
      </x:c>
      <x:c r="B35" t="str">
        <x:f>'MASTER_QUEUE'!B94</x:f>
        <x:v>Food Manufacturing</x:v>
      </x:c>
      <x:c r="C35" s="12" t="n">
        <x:f>'MASTER_QUEUE'!C94</x:f>
        <x:v>135</x:v>
      </x:c>
      <x:c r="D35" s="13" t="str">
        <x:f>'MASTER_QUEUE'!D94</x:f>
        <x:v>201-500</x:v>
      </x:c>
      <x:c r="E35" s="7" t="str">
        <x:f>'MASTER_QUEUE'!E94</x:f>
        <x:v>https://www.linkedin.com/company/catania-spagna</x:v>
      </x:c>
      <x:c r="F35" s="7" t="str">
        <x:f>'MASTER_QUEUE'!F94</x:f>
        <x:v>https://www.cataniaoils.com/</x:v>
      </x:c>
      <x:c r="G35" t="str">
        <x:f>'MASTER_QUEUE'!G94</x:f>
        <x:v>Ayer</x:v>
      </x:c>
      <x:c r="H35" s="8" t="str">
        <x:f>'MASTER_QUEUE'!H94</x:f>
        <x:v>Prospeo</x:v>
      </x:c>
      <x:c r="I35" s="8" t="str">
        <x:f>'MASTER_QUEUE'!I94</x:f>
        <x:v>Not Started</x:v>
      </x:c>
      <x:c r="J35" s="8" t="str">
        <x:f>'MASTER_QUEUE'!J94</x:f>
        <x:v>LARGE_MANUFACTURING</x:v>
      </x:c>
      <x:c r="K35" s="7" t="str">
        <x:f>'MASTER_QUEUE'!K94</x:f>
        <x:v>Plant Manager &gt; Operations Director &gt; Training Director &gt; L&amp;D Director &gt; HR Director &gt; Safety Director &gt; VP of Operations</x:v>
      </x:c>
    </x:row>
    <x:row r="36" ht="42" customHeight="1">
      <x:c r="A36" t="str">
        <x:f>'MASTER_QUEUE'!A95</x:f>
        <x:v>CBT Architects</x:v>
      </x:c>
      <x:c r="B36" t="str">
        <x:f>'MASTER_QUEUE'!B95</x:f>
        <x:v>Architecture &amp; Planning</x:v>
      </x:c>
      <x:c r="C36" s="12" t="n">
        <x:f>'MASTER_QUEUE'!C95</x:f>
        <x:v>192</x:v>
      </x:c>
      <x:c r="D36" s="13" t="str">
        <x:f>'MASTER_QUEUE'!D95</x:f>
        <x:v>51-200</x:v>
      </x:c>
      <x:c r="E36" s="7" t="str">
        <x:f>'MASTER_QUEUE'!E95</x:f>
        <x:v>https://www.linkedin.com/company/cbt-architects</x:v>
      </x:c>
      <x:c r="F36" s="7" t="str">
        <x:f>'MASTER_QUEUE'!F95</x:f>
        <x:v>https://www.cbtarchitects.com/</x:v>
      </x:c>
      <x:c r="G36" t="str">
        <x:f>'MASTER_QUEUE'!G95</x:f>
        <x:v>Boston</x:v>
      </x:c>
      <x:c r="H36" s="8" t="str">
        <x:f>'MASTER_QUEUE'!H95</x:f>
        <x:v>Prospeo</x:v>
      </x:c>
      <x:c r="I36" s="8" t="str">
        <x:f>'MASTER_QUEUE'!I95</x:f>
        <x:v>Not Started</x:v>
      </x:c>
      <x:c r="J36" s="8" t="str">
        <x:f>'MASTER_QUEUE'!J95</x:f>
        <x:v>MID_TECH_PROFESSIONAL</x:v>
      </x:c>
      <x:c r="K36" s="7" t="str">
        <x:f>'MASTER_QUEUE'!K95</x:f>
        <x:v>People Operations Director &gt; HR Director &gt; L&amp;D Manager &gt; Talent Development Manager &gt; Operations Director &gt; Managing Partner &gt; CEO</x:v>
      </x:c>
    </x:row>
    <x:row r="37" ht="42" customHeight="1">
      <x:c r="A37" t="str">
        <x:f>'MASTER_QUEUE'!A96</x:f>
        <x:v>Children's Services of Roxbury</x:v>
      </x:c>
      <x:c r="B37" t="str">
        <x:f>'MASTER_QUEUE'!B96</x:f>
        <x:v>Social Services</x:v>
      </x:c>
      <x:c r="C37" s="12" t="n">
        <x:f>'MASTER_QUEUE'!C96</x:f>
        <x:v>240</x:v>
      </x:c>
      <x:c r="D37" s="13" t="str">
        <x:f>'MASTER_QUEUE'!D96</x:f>
        <x:v>201-500</x:v>
      </x:c>
      <x:c r="E37" s="7" t="str">
        <x:f>'MASTER_QUEUE'!E96</x:f>
        <x:v>https://www.linkedin.com/company/children-s-services-of-roxbury-inc-</x:v>
      </x:c>
      <x:c r="F37" s="7" t="str">
        <x:f>'MASTER_QUEUE'!F96</x:f>
        <x:v>https://csrox.org/</x:v>
      </x:c>
      <x:c r="G37" t="str">
        <x:f>'MASTER_QUEUE'!G96</x:f>
        <x:v>Boston</x:v>
      </x:c>
      <x:c r="H37" s="8" t="str">
        <x:f>'MASTER_QUEUE'!H96</x:f>
        <x:v>Prospeo</x:v>
      </x:c>
      <x:c r="I37" s="8" t="str">
        <x:f>'MASTER_QUEUE'!I96</x:f>
        <x:v>Not Started</x:v>
      </x:c>
      <x:c r="J37" s="8" t="str">
        <x:f>'MASTER_QUEUE'!J96</x:f>
        <x:v>LARGE_NONPROFIT_SOCIAL</x:v>
      </x:c>
      <x:c r="K37" s="7" t="str">
        <x:f>'MASTER_QUEUE'!K96</x:f>
        <x:v>Workforce Development Director &gt; L&amp;D Director &gt; Training Director &gt; Organizational Development Director &gt; HR Director &gt; COO &gt; Executive Director</x:v>
      </x:c>
    </x:row>
    <x:row r="38" ht="42" customHeight="1">
      <x:c r="A38" t="str">
        <x:f>'MASTER_QUEUE'!A97</x:f>
        <x:v>City Experiences</x:v>
      </x:c>
      <x:c r="B38" t="str">
        <x:f>'MASTER_QUEUE'!B97</x:f>
        <x:v>Travel &amp; Hospitality</x:v>
      </x:c>
      <x:c r="C38" s="12" t="n">
        <x:f>'MASTER_QUEUE'!C97</x:f>
        <x:v>350</x:v>
      </x:c>
      <x:c r="D38" s="13" t="str">
        <x:f>'MASTER_QUEUE'!D97</x:f>
        <x:v>1,001-5,000</x:v>
      </x:c>
      <x:c r="E38" s="7" t="str">
        <x:f>'MASTER_QUEUE'!E97</x:f>
        <x:v>https://www.linkedin.com/company/cityexperiences</x:v>
      </x:c>
      <x:c r="F38" s="7" t="str">
        <x:f>'MASTER_QUEUE'!F97</x:f>
        <x:v>https://www.cityexperiences.com/</x:v>
      </x:c>
      <x:c r="G38" t="str">
        <x:f>'MASTER_QUEUE'!G97</x:f>
        <x:v>Boston</x:v>
      </x:c>
      <x:c r="H38" s="8" t="str">
        <x:f>'MASTER_QUEUE'!H97</x:f>
        <x:v>Prospeo</x:v>
      </x:c>
      <x:c r="I38" s="8" t="str">
        <x:f>'MASTER_QUEUE'!I97</x:f>
        <x:v>Not Started</x:v>
      </x:c>
      <x:c r="J38" s="8" t="str">
        <x:f>'MASTER_QUEUE'!J97</x:f>
        <x:v>ENTERPRISE_HOSPITALITY_RETAIL</x:v>
      </x:c>
      <x:c r="K38" s="7" t="str">
        <x:f>'MASTER_QUEUE'!K97</x:f>
        <x:v>L&amp;D Director &gt; Training Director &gt; Regional Operations Director &gt; HR Director &gt; VP of Operations &gt; VP of HR</x:v>
      </x:c>
    </x:row>
    <x:row r="39" ht="42" customHeight="1">
      <x:c r="A39" t="str">
        <x:f>'MASTER_QUEUE'!A98</x:f>
        <x:v>City Fresh Foods</x:v>
      </x:c>
      <x:c r="B39" t="str">
        <x:f>'MASTER_QUEUE'!B98</x:f>
        <x:v>Food Manufacturing &amp; Catering</x:v>
      </x:c>
      <x:c r="C39" s="12" t="n">
        <x:f>'MASTER_QUEUE'!C98</x:f>
        <x:v>67</x:v>
      </x:c>
      <x:c r="D39" s="13" t="str">
        <x:f>'MASTER_QUEUE'!D98</x:f>
        <x:v>51-200</x:v>
      </x:c>
      <x:c r="E39" s="7" t="str">
        <x:f>'MASTER_QUEUE'!E98</x:f>
        <x:v>https://www.linkedin.com/company/cityfreshfoods</x:v>
      </x:c>
      <x:c r="F39" s="7" t="str">
        <x:f>'MASTER_QUEUE'!F98</x:f>
        <x:v>https://www.cityfresh.com/</x:v>
      </x:c>
      <x:c r="G39" t="str">
        <x:f>'MASTER_QUEUE'!G98</x:f>
        <x:v>Boston</x:v>
      </x:c>
      <x:c r="H39" s="8" t="str">
        <x:f>'MASTER_QUEUE'!H98</x:f>
        <x:v>Prospeo</x:v>
      </x:c>
      <x:c r="I39" s="8" t="str">
        <x:f>'MASTER_QUEUE'!I98</x:f>
        <x:v>Not Started</x:v>
      </x:c>
      <x:c r="J39" s="8" t="str">
        <x:f>'MASTER_QUEUE'!J98</x:f>
        <x:v>MID_MANUFACTURING</x:v>
      </x:c>
      <x:c r="K39" s="7" t="str">
        <x:f>'MASTER_QUEUE'!K98</x:f>
        <x:v>Plant Manager &gt; Operations Director &gt; HR Director &gt; Training Manager &gt; Safety Manager &gt; President &gt; CEO</x:v>
      </x:c>
    </x:row>
    <x:row r="40" ht="42" customHeight="1">
      <x:c r="A40" t="str">
        <x:f>'MASTER_QUEUE'!A99</x:f>
        <x:v>City of Boston Credit Union</x:v>
      </x:c>
      <x:c r="B40" t="str">
        <x:f>'MASTER_QUEUE'!B99</x:f>
        <x:v>Credit Union</x:v>
      </x:c>
      <x:c r="C40" s="12" t="n">
        <x:f>'MASTER_QUEUE'!C99</x:f>
        <x:v>51</x:v>
      </x:c>
      <x:c r="D40" s="13" t="str">
        <x:f>'MASTER_QUEUE'!D99</x:f>
        <x:v>51-200</x:v>
      </x:c>
      <x:c r="E40" s="7" t="str">
        <x:f>'MASTER_QUEUE'!E99</x:f>
        <x:v>https://www.linkedin.com/company/city-of-boston-credit-union</x:v>
      </x:c>
      <x:c r="F40" s="7" t="str">
        <x:f>'MASTER_QUEUE'!F99</x:f>
        <x:v>https://cityofbostoncu.com/</x:v>
      </x:c>
      <x:c r="G40" t="str">
        <x:f>'MASTER_QUEUE'!G99</x:f>
        <x:v>Boston</x:v>
      </x:c>
      <x:c r="H40" s="8" t="str">
        <x:f>'MASTER_QUEUE'!H99</x:f>
        <x:v>Prospeo</x:v>
      </x:c>
      <x:c r="I40" s="8" t="str">
        <x:f>'MASTER_QUEUE'!I99</x:f>
        <x:v>Not Started</x:v>
      </x:c>
      <x:c r="J40" s="8" t="str">
        <x:f>'MASTER_QUEUE'!J99</x:f>
        <x:v>MID_FINANCIAL_SERVICES</x:v>
      </x:c>
      <x:c r="K40" s="7" t="str">
        <x:f>'MASTER_QUEUE'!K99</x:f>
        <x:v>HR Director &gt; L&amp;D Manager &gt; Training Manager &gt; COO &gt; Operations Director &gt; President &gt; CEO</x:v>
      </x:c>
    </x:row>
    <x:row r="41" ht="42" customHeight="1">
      <x:c r="A41" t="str">
        <x:f>'MASTER_QUEUE'!A100</x:f>
        <x:v>Cityscapes Plant Care</x:v>
      </x:c>
      <x:c r="B41" t="str">
        <x:f>'MASTER_QUEUE'!B100</x:f>
        <x:v>Landscaping &amp; Plant Care Services</x:v>
      </x:c>
      <x:c r="C41" s="12" t="str">
        <x:f>'MASTER_QUEUE'!C100</x:f>
        <x:v>Not visible</x:v>
      </x:c>
      <x:c r="D41" s="13" t="str">
        <x:f>'MASTER_QUEUE'!D100</x:f>
        <x:v>Not visible</x:v>
      </x:c>
      <x:c r="E41" s="7" t="str">
        <x:f>'MASTER_QUEUE'!E100</x:f>
        <x:v>Not verified</x:v>
      </x:c>
      <x:c r="F41" s="7" t="str">
        <x:f>'MASTER_QUEUE'!F100</x:f>
        <x:v>https://bostoncityscapes.com/</x:v>
      </x:c>
      <x:c r="G41" t="str">
        <x:f>'MASTER_QUEUE'!G100</x:f>
        <x:v>Boston</x:v>
      </x:c>
      <x:c r="H41" s="8" t="str">
        <x:f>'MASTER_QUEUE'!H100</x:f>
        <x:v>Prospeo</x:v>
      </x:c>
      <x:c r="I41" s="8" t="str">
        <x:f>'MASTER_QUEUE'!I100</x:f>
        <x:v>Not Started</x:v>
      </x:c>
      <x:c r="J41" s="8" t="str">
        <x:f>'MASTER_QUEUE'!J100</x:f>
        <x:v>UNKNOWN_CONSTRUCTION_TRADES</x:v>
      </x:c>
      <x:c r="K41" s="7" t="str">
        <x:f>'MASTER_QUEUE'!K100</x:f>
        <x:v>Owner &gt; President &gt; CEO &gt; Operations Director &gt; Safety Manager &gt; Training Manager &gt; HR Director</x:v>
      </x:c>
    </x:row>
    <x:row r="42" ht="42" customHeight="1">
      <x:c r="A42" t="str">
        <x:f>'MASTER_QUEUE'!A101</x:f>
        <x:v>ClearMotion, Inc.</x:v>
      </x:c>
      <x:c r="B42" t="str">
        <x:f>'MASTER_QUEUE'!B101</x:f>
        <x:v>Automotive Technology</x:v>
      </x:c>
      <x:c r="C42" s="12" t="n">
        <x:f>'MASTER_QUEUE'!C101</x:f>
        <x:v>113</x:v>
      </x:c>
      <x:c r="D42" s="13" t="str">
        <x:f>'MASTER_QUEUE'!D101</x:f>
        <x:v>51-200</x:v>
      </x:c>
      <x:c r="E42" s="7" t="str">
        <x:f>'MASTER_QUEUE'!E101</x:f>
        <x:v>https://www.linkedin.com/company/clearmotion-inc.</x:v>
      </x:c>
      <x:c r="F42" s="7" t="str">
        <x:f>'MASTER_QUEUE'!F101</x:f>
        <x:v>https://www.clearmotion.com/</x:v>
      </x:c>
      <x:c r="G42" t="str">
        <x:f>'MASTER_QUEUE'!G101</x:f>
        <x:v>Billerica</x:v>
      </x:c>
      <x:c r="H42" s="8" t="str">
        <x:f>'MASTER_QUEUE'!H101</x:f>
        <x:v>Prospeo</x:v>
      </x:c>
      <x:c r="I42" s="8" t="str">
        <x:f>'MASTER_QUEUE'!I101</x:f>
        <x:v>Not Started</x:v>
      </x:c>
      <x:c r="J42" s="8" t="str">
        <x:f>'MASTER_QUEUE'!J101</x:f>
        <x:v>MID_TECH_PROFESSIONAL</x:v>
      </x:c>
      <x:c r="K42" s="7" t="str">
        <x:f>'MASTER_QUEUE'!K101</x:f>
        <x:v>People Operations Director &gt; HR Director &gt; L&amp;D Manager &gt; Talent Development Manager &gt; Operations Director &gt; Managing Partner &gt; CEO</x:v>
      </x:c>
    </x:row>
    <x:row r="43" ht="42" customHeight="1">
      <x:c r="A43" t="str">
        <x:f>'MASTER_QUEUE'!A102</x:f>
        <x:v>Colonial Saw</x:v>
      </x:c>
      <x:c r="B43" t="str">
        <x:f>'MASTER_QUEUE'!B102</x:f>
        <x:v>Machinery Manufacturing</x:v>
      </x:c>
      <x:c r="C43" s="12" t="n">
        <x:f>'MASTER_QUEUE'!C102</x:f>
        <x:v>31</x:v>
      </x:c>
      <x:c r="D43" s="13" t="str">
        <x:f>'MASTER_QUEUE'!D102</x:f>
        <x:v>11-50</x:v>
      </x:c>
      <x:c r="E43" s="7" t="str">
        <x:f>'MASTER_QUEUE'!E102</x:f>
        <x:v>https://www.linkedin.com/company/colonial-saw</x:v>
      </x:c>
      <x:c r="F43" s="7" t="str">
        <x:f>'MASTER_QUEUE'!F102</x:f>
        <x:v>https://www.csaw.com/</x:v>
      </x:c>
      <x:c r="G43" t="str">
        <x:f>'MASTER_QUEUE'!G102</x:f>
        <x:v>Kingston</x:v>
      </x:c>
      <x:c r="H43" s="8" t="str">
        <x:f>'MASTER_QUEUE'!H102</x:f>
        <x:v>Prospeo</x:v>
      </x:c>
      <x:c r="I43" s="8" t="str">
        <x:f>'MASTER_QUEUE'!I102</x:f>
        <x:v>Not Started</x:v>
      </x:c>
      <x:c r="J43" s="8" t="str">
        <x:f>'MASTER_QUEUE'!J102</x:f>
        <x:v>SMALL_MANUFACTURING</x:v>
      </x:c>
      <x:c r="K43" s="7" t="str">
        <x:f>'MASTER_QUEUE'!K102</x:f>
        <x:v>Owner &gt; Founder &gt; Co-Founder &gt; President &gt; CEO &gt; Plant Manager &gt; Operations Manager &gt; Training Manager &gt; HR Manager</x:v>
      </x:c>
    </x:row>
    <x:row r="44" ht="42" customHeight="1">
      <x:c r="A44" t="str">
        <x:f>'MASTER_QUEUE'!A103</x:f>
        <x:v>Comalli Group</x:v>
      </x:c>
      <x:c r="B44" t="str">
        <x:f>'MASTER_QUEUE'!B103</x:f>
        <x:v>Electrical Contracting</x:v>
      </x:c>
      <x:c r="C44" s="12" t="n">
        <x:f>'MASTER_QUEUE'!C103</x:f>
        <x:v>56</x:v>
      </x:c>
      <x:c r="D44" s="13" t="str">
        <x:f>'MASTER_QUEUE'!D103</x:f>
        <x:v>51-200</x:v>
      </x:c>
      <x:c r="E44" s="7" t="str">
        <x:f>'MASTER_QUEUE'!E103</x:f>
        <x:v>https://www.linkedin.com/company/comalli-group-inc-</x:v>
      </x:c>
      <x:c r="F44" s="7" t="str">
        <x:f>'MASTER_QUEUE'!F103</x:f>
        <x:v>https://www.comalli.com/</x:v>
      </x:c>
      <x:c r="G44" t="str">
        <x:f>'MASTER_QUEUE'!G103</x:f>
        <x:v>Pittsfield</x:v>
      </x:c>
      <x:c r="H44" s="8" t="str">
        <x:f>'MASTER_QUEUE'!H103</x:f>
        <x:v>Prospeo</x:v>
      </x:c>
      <x:c r="I44" s="8" t="str">
        <x:f>'MASTER_QUEUE'!I103</x:f>
        <x:v>Not Started</x:v>
      </x:c>
      <x:c r="J44" s="8" t="str">
        <x:f>'MASTER_QUEUE'!J103</x:f>
        <x:v>MID_CONSTRUCTION_TRADES</x:v>
      </x:c>
      <x:c r="K44" s="7" t="str">
        <x:f>'MASTER_QUEUE'!K103</x:f>
        <x:v>Operations Director &gt; Safety Director &gt; Safety Manager &gt; Training Manager &gt; HR Director &gt; HR Manager &gt; President &gt; CEO</x:v>
      </x:c>
    </x:row>
    <x:row r="45" ht="42" customHeight="1">
      <x:c r="A45" t="str">
        <x:f>'MASTER_QUEUE'!A104</x:f>
        <x:v>Commonwealth Soap &amp; Toiletries</x:v>
      </x:c>
      <x:c r="B45" t="str">
        <x:f>'MASTER_QUEUE'!B104</x:f>
        <x:v>Personal Care Product Manufacturing</x:v>
      </x:c>
      <x:c r="C45" s="12" t="n">
        <x:f>'MASTER_QUEUE'!C104</x:f>
        <x:v>35</x:v>
      </x:c>
      <x:c r="D45" s="13" t="str">
        <x:f>'MASTER_QUEUE'!D104</x:f>
        <x:v>51-200</x:v>
      </x:c>
      <x:c r="E45" s="7" t="str">
        <x:f>'MASTER_QUEUE'!E104</x:f>
        <x:v>https://www.linkedin.com/company/commonwealth-soap-and-toiletries</x:v>
      </x:c>
      <x:c r="F45" s="7" t="str">
        <x:f>'MASTER_QUEUE'!F104</x:f>
        <x:v>https://www.cstsoap.com/</x:v>
      </x:c>
      <x:c r="G45" t="str">
        <x:f>'MASTER_QUEUE'!G104</x:f>
        <x:v>Fall River</x:v>
      </x:c>
      <x:c r="H45" s="8" t="str">
        <x:f>'MASTER_QUEUE'!H104</x:f>
        <x:v>Prospeo</x:v>
      </x:c>
      <x:c r="I45" s="8" t="str">
        <x:f>'MASTER_QUEUE'!I104</x:f>
        <x:v>Not Started</x:v>
      </x:c>
      <x:c r="J45" s="8" t="str">
        <x:f>'MASTER_QUEUE'!J104</x:f>
        <x:v>MID_MANUFACTURING</x:v>
      </x:c>
      <x:c r="K45" s="7" t="str">
        <x:f>'MASTER_QUEUE'!K104</x:f>
        <x:v>Plant Manager &gt; Operations Director &gt; HR Director &gt; Training Manager &gt; Safety Manager &gt; President &gt; CEO</x:v>
      </x:c>
    </x:row>
    <x:row r="46" ht="42" customHeight="1">
      <x:c r="A46" t="str">
        <x:f>'MASTER_QUEUE'!A105</x:f>
        <x:v>Compare Supermarket</x:v>
      </x:c>
      <x:c r="B46" t="str">
        <x:f>'MASTER_QUEUE'!B105</x:f>
        <x:v>Grocery Retail</x:v>
      </x:c>
      <x:c r="C46" s="12" t="str">
        <x:f>'MASTER_QUEUE'!C105</x:f>
        <x:v>Not visible</x:v>
      </x:c>
      <x:c r="D46" s="13" t="str">
        <x:f>'MASTER_QUEUE'!D105</x:f>
        <x:v>Not visible</x:v>
      </x:c>
      <x:c r="E46" s="7" t="str">
        <x:f>'MASTER_QUEUE'!E105</x:f>
        <x:v>Not verified</x:v>
      </x:c>
      <x:c r="F46" s="7" t="str">
        <x:f>'MASTER_QUEUE'!F105</x:f>
        <x:v>https://www.shopcomparefoods.com/</x:v>
      </x:c>
      <x:c r="G46" t="str">
        <x:f>'MASTER_QUEUE'!G105</x:f>
        <x:v>Chelsea</x:v>
      </x:c>
      <x:c r="H46" s="8" t="str">
        <x:f>'MASTER_QUEUE'!H105</x:f>
        <x:v>Prospeo</x:v>
      </x:c>
      <x:c r="I46" s="8" t="str">
        <x:f>'MASTER_QUEUE'!I105</x:f>
        <x:v>Not Started</x:v>
      </x:c>
      <x:c r="J46" s="8" t="str">
        <x:f>'MASTER_QUEUE'!J105</x:f>
        <x:v>UNKNOWN_HOSPITALITY_RETAIL</x:v>
      </x:c>
      <x:c r="K46" s="7" t="str">
        <x:f>'MASTER_QUEUE'!K105</x:f>
        <x:v>Owner &gt; President &gt; CEO &gt; General Manager &gt; Operations Director &gt; Training Manager &gt; HR Director</x:v>
      </x:c>
    </x:row>
    <x:row r="47" ht="42" customHeight="1">
      <x:c r="A47" t="str">
        <x:f>'MASTER_QUEUE'!A106</x:f>
        <x:v>Consolidated Sterilizer Systems</x:v>
      </x:c>
      <x:c r="B47" t="str">
        <x:f>'MASTER_QUEUE'!B106</x:f>
        <x:v>Medical Equipment Manufacturing</x:v>
      </x:c>
      <x:c r="C47" s="12" t="n">
        <x:f>'MASTER_QUEUE'!C106</x:f>
        <x:v>38</x:v>
      </x:c>
      <x:c r="D47" s="13" t="str">
        <x:f>'MASTER_QUEUE'!D106</x:f>
        <x:v>11-50</x:v>
      </x:c>
      <x:c r="E47" s="7" t="str">
        <x:f>'MASTER_QUEUE'!E106</x:f>
        <x:v>https://www.linkedin.com/company/consolidated-sterilizer-systems</x:v>
      </x:c>
      <x:c r="F47" s="7" t="str">
        <x:f>'MASTER_QUEUE'!F106</x:f>
        <x:v>https://consteril.com/</x:v>
      </x:c>
      <x:c r="G47" t="str">
        <x:f>'MASTER_QUEUE'!G106</x:f>
        <x:v>Billerica</x:v>
      </x:c>
      <x:c r="H47" s="8" t="str">
        <x:f>'MASTER_QUEUE'!H106</x:f>
        <x:v>Prospeo</x:v>
      </x:c>
      <x:c r="I47" s="8" t="str">
        <x:f>'MASTER_QUEUE'!I106</x:f>
        <x:v>Not Started</x:v>
      </x:c>
      <x:c r="J47" s="8" t="str">
        <x:f>'MASTER_QUEUE'!J106</x:f>
        <x:v>SMALL_MANUFACTURING</x:v>
      </x:c>
      <x:c r="K47" s="7" t="str">
        <x:f>'MASTER_QUEUE'!K106</x:f>
        <x:v>Owner &gt; Founder &gt; Co-Founder &gt; President &gt; CEO &gt; Plant Manager &gt; Operations Manager &gt; Training Manager &gt; HR Manager</x:v>
      </x:c>
    </x:row>
    <x:row r="48" ht="42" customHeight="1">
      <x:c r="A48" t="str">
        <x:f>'MASTER_QUEUE'!A107</x:f>
        <x:v>Courtyard Boston Downtown</x:v>
      </x:c>
      <x:c r="B48" t="str">
        <x:f>'MASTER_QUEUE'!B107</x:f>
        <x:v>Hotels &amp; Hospitality</x:v>
      </x:c>
      <x:c r="C48" s="12" t="str">
        <x:f>'MASTER_QUEUE'!C107</x:f>
        <x:v>Not visible</x:v>
      </x:c>
      <x:c r="D48" s="13" t="str">
        <x:f>'MASTER_QUEUE'!D107</x:f>
        <x:v>Not visible</x:v>
      </x:c>
      <x:c r="E48" s="7" t="str">
        <x:f>'MASTER_QUEUE'!E107</x:f>
        <x:v>Not verified</x:v>
      </x:c>
      <x:c r="F48" s="7" t="str">
        <x:f>'MASTER_QUEUE'!F107</x:f>
        <x:v>https://www.marriott.com/en-us/hotels/bosdm-courtyard-boston-downtown/overview/</x:v>
      </x:c>
      <x:c r="G48" t="str">
        <x:f>'MASTER_QUEUE'!G107</x:f>
        <x:v>Boston</x:v>
      </x:c>
      <x:c r="H48" s="8" t="str">
        <x:f>'MASTER_QUEUE'!H107</x:f>
        <x:v>Prospeo</x:v>
      </x:c>
      <x:c r="I48" s="8" t="str">
        <x:f>'MASTER_QUEUE'!I107</x:f>
        <x:v>Not Started</x:v>
      </x:c>
      <x:c r="J48" s="8" t="str">
        <x:f>'MASTER_QUEUE'!J107</x:f>
        <x:v>UNKNOWN_HOSPITALITY_RETAIL</x:v>
      </x:c>
      <x:c r="K48" s="7" t="str">
        <x:f>'MASTER_QUEUE'!K107</x:f>
        <x:v>Owner &gt; President &gt; CEO &gt; General Manager &gt; Operations Director &gt; Training Manager &gt; HR Director</x:v>
      </x:c>
    </x:row>
    <x:row r="49" ht="42" customHeight="1">
      <x:c r="A49" t="str">
        <x:f>'MASTER_QUEUE'!A108</x:f>
        <x:v>Creative Office Resources</x:v>
      </x:c>
      <x:c r="B49" t="str">
        <x:f>'MASTER_QUEUE'!B108</x:f>
        <x:v>Office Furniture &amp; Workplace Design</x:v>
      </x:c>
      <x:c r="C49" s="12" t="n">
        <x:f>'MASTER_QUEUE'!C108</x:f>
        <x:v>685</x:v>
      </x:c>
      <x:c r="D49" s="13" t="str">
        <x:f>'MASTER_QUEUE'!D108</x:f>
        <x:v>501-1,000</x:v>
      </x:c>
      <x:c r="E49" s="7" t="str">
        <x:f>'MASTER_QUEUE'!E108</x:f>
        <x:v>https://www.linkedin.com/company/creative-office-resources</x:v>
      </x:c>
      <x:c r="F49" s="7" t="str">
        <x:f>'MASTER_QUEUE'!F108</x:f>
        <x:v>https://www.creativeofficeresources.com/</x:v>
      </x:c>
      <x:c r="G49" t="str">
        <x:f>'MASTER_QUEUE'!G108</x:f>
        <x:v>Boston</x:v>
      </x:c>
      <x:c r="H49" s="8" t="str">
        <x:f>'MASTER_QUEUE'!H108</x:f>
        <x:v>Prospeo</x:v>
      </x:c>
      <x:c r="I49" s="8" t="str">
        <x:f>'MASTER_QUEUE'!I108</x:f>
        <x:v>Not Started</x:v>
      </x:c>
      <x:c r="J49" s="8" t="str">
        <x:f>'MASTER_QUEUE'!J108</x:f>
        <x:v>LARGE_REAL_ESTATE_FACILITIES</x:v>
      </x:c>
      <x:c r="K49" s="7" t="str">
        <x:f>'MASTER_QUEUE'!K108</x:f>
        <x:v>Facilities Director &gt; Operations Director &gt; Training Director &gt; L&amp;D Director &gt; HR Director &gt; Regional Manager</x:v>
      </x:c>
    </x:row>
    <x:row r="50" ht="42" customHeight="1">
      <x:c r="A50" t="str">
        <x:f>'MASTER_QUEUE'!A109</x:f>
        <x:v>Dan-Kar</x:v>
      </x:c>
      <x:c r="B50" t="str">
        <x:f>'MASTER_QUEUE'!B109</x:f>
        <x:v>Plastics Manufacturing</x:v>
      </x:c>
      <x:c r="C50" s="12" t="n">
        <x:f>'MASTER_QUEUE'!C109</x:f>
        <x:v>7</x:v>
      </x:c>
      <x:c r="D50" s="13" t="str">
        <x:f>'MASTER_QUEUE'!D109</x:f>
        <x:v>11-50</x:v>
      </x:c>
      <x:c r="E50" s="7" t="str">
        <x:f>'MASTER_QUEUE'!E109</x:f>
        <x:v>https://www.linkedin.com/company/dan-kar</x:v>
      </x:c>
      <x:c r="F50" s="7" t="str">
        <x:f>'MASTER_QUEUE'!F109</x:f>
        <x:v>https://dan-kar.com/</x:v>
      </x:c>
      <x:c r="G50" t="str">
        <x:f>'MASTER_QUEUE'!G109</x:f>
        <x:v>Woburn</x:v>
      </x:c>
      <x:c r="H50" s="8" t="str">
        <x:f>'MASTER_QUEUE'!H109</x:f>
        <x:v>Prospeo</x:v>
      </x:c>
      <x:c r="I50" s="8" t="str">
        <x:f>'MASTER_QUEUE'!I109</x:f>
        <x:v>Not Started</x:v>
      </x:c>
      <x:c r="J50" s="8" t="str">
        <x:f>'MASTER_QUEUE'!J109</x:f>
        <x:v>SMALL_MANUFACTURING</x:v>
      </x:c>
      <x:c r="K50" s="7" t="str">
        <x:f>'MASTER_QUEUE'!K109</x:f>
        <x:v>Owner &gt; Founder &gt; Co-Founder &gt; President &gt; CEO &gt; Plant Manager &gt; Operations Manager &gt; Training Manager &gt; HR Manager</x:v>
      </x:c>
    </x:row>
    <x:row r="51" ht="42" customHeight="1">
      <x:c r="A51" t="str">
        <x:f>'MASTER_QUEUE'!A110</x:f>
        <x:v>Danvers Industrial Packaging</x:v>
      </x:c>
      <x:c r="B51" t="str">
        <x:f>'MASTER_QUEUE'!B110</x:f>
        <x:v>Packaging &amp; Containers</x:v>
      </x:c>
      <x:c r="C51" s="12" t="n">
        <x:f>'MASTER_QUEUE'!C110</x:f>
        <x:v>23</x:v>
      </x:c>
      <x:c r="D51" s="13" t="str">
        <x:f>'MASTER_QUEUE'!D110</x:f>
        <x:v>11-50</x:v>
      </x:c>
      <x:c r="E51" s="7" t="str">
        <x:f>'MASTER_QUEUE'!E110</x:f>
        <x:v>https://www.linkedin.com/company/danvers-industrial-packaging</x:v>
      </x:c>
      <x:c r="F51" s="7" t="str">
        <x:f>'MASTER_QUEUE'!F110</x:f>
        <x:v>https://www.danpack.com/</x:v>
      </x:c>
      <x:c r="G51" t="str">
        <x:f>'MASTER_QUEUE'!G110</x:f>
        <x:v>Beverly</x:v>
      </x:c>
      <x:c r="H51" s="8" t="str">
        <x:f>'MASTER_QUEUE'!H110</x:f>
        <x:v>Prospeo</x:v>
      </x:c>
      <x:c r="I51" s="8" t="str">
        <x:f>'MASTER_QUEUE'!I110</x:f>
        <x:v>Not Started</x:v>
      </x:c>
      <x:c r="J51" s="8" t="str">
        <x:f>'MASTER_QUEUE'!J110</x:f>
        <x:v>SMALL_MANUFACTURING</x:v>
      </x:c>
      <x:c r="K51" s="7" t="str">
        <x:f>'MASTER_QUEUE'!K110</x:f>
        <x:v>Owner &gt; Founder &gt; Co-Founder &gt; President &gt; CEO &gt; Plant Manager &gt; Operations Manager &gt; Training Manager &gt; HR Manager</x:v>
      </x:c>
    </x:row>
    <x:row r="52" ht="42" customHeight="1">
      <x:c r="A52" t="str">
        <x:f>'MASTER_QUEUE'!A111</x:f>
        <x:v>Dean Cooperative Bank</x:v>
      </x:c>
      <x:c r="B52" t="str">
        <x:f>'MASTER_QUEUE'!B111</x:f>
        <x:v>Banking</x:v>
      </x:c>
      <x:c r="C52" s="12" t="str">
        <x:f>'MASTER_QUEUE'!C111</x:f>
        <x:v>Not visible</x:v>
      </x:c>
      <x:c r="D52" s="13" t="str">
        <x:f>'MASTER_QUEUE'!D111</x:f>
        <x:v>Not visible</x:v>
      </x:c>
      <x:c r="E52" s="7" t="str">
        <x:f>'MASTER_QUEUE'!E111</x:f>
        <x:v>Not verified</x:v>
      </x:c>
      <x:c r="F52" s="7" t="str">
        <x:f>'MASTER_QUEUE'!F111</x:f>
        <x:v>https://www.deanbank.com/</x:v>
      </x:c>
      <x:c r="G52" t="str">
        <x:f>'MASTER_QUEUE'!G111</x:f>
        <x:v>Franklin</x:v>
      </x:c>
      <x:c r="H52" s="8" t="str">
        <x:f>'MASTER_QUEUE'!H111</x:f>
        <x:v>Prospeo</x:v>
      </x:c>
      <x:c r="I52" s="8" t="str">
        <x:f>'MASTER_QUEUE'!I111</x:f>
        <x:v>Not Started</x:v>
      </x:c>
      <x:c r="J52" s="8" t="str">
        <x:f>'MASTER_QUEUE'!J111</x:f>
        <x:v>UNKNOWN_FINANCIAL_SERVICES</x:v>
      </x:c>
      <x:c r="K52" s="7" t="str">
        <x:f>'MASTER_QUEUE'!K111</x:f>
        <x:v>Owner &gt; President &gt; CEO &gt; Managing Partner &gt; HR Director &gt; Training Manager &gt; COO</x:v>
      </x:c>
    </x:row>
    <x:row r="53" ht="42" customHeight="1">
      <x:c r="A53" t="str">
        <x:f>'MASTER_QUEUE'!A112</x:f>
        <x:v>DEM Biopharma</x:v>
      </x:c>
      <x:c r="B53" t="str">
        <x:f>'MASTER_QUEUE'!B112</x:f>
        <x:v>Biotechnology Research</x:v>
      </x:c>
      <x:c r="C53" s="12" t="n">
        <x:f>'MASTER_QUEUE'!C112</x:f>
        <x:v>20</x:v>
      </x:c>
      <x:c r="D53" s="13" t="str">
        <x:f>'MASTER_QUEUE'!D112</x:f>
        <x:v>11-50</x:v>
      </x:c>
      <x:c r="E53" s="7" t="str">
        <x:f>'MASTER_QUEUE'!E112</x:f>
        <x:v>https://www.linkedin.com/company/dem-biopharma-inc</x:v>
      </x:c>
      <x:c r="F53" s="7" t="str">
        <x:f>'MASTER_QUEUE'!F112</x:f>
        <x:v>https://dembiopharma.com/</x:v>
      </x:c>
      <x:c r="G53" t="str">
        <x:f>'MASTER_QUEUE'!G112</x:f>
        <x:v>Boston</x:v>
      </x:c>
      <x:c r="H53" s="8" t="str">
        <x:f>'MASTER_QUEUE'!H112</x:f>
        <x:v>Prospeo</x:v>
      </x:c>
      <x:c r="I53" s="8" t="str">
        <x:f>'MASTER_QUEUE'!I112</x:f>
        <x:v>Not Started</x:v>
      </x:c>
      <x:c r="J53" s="8" t="str">
        <x:f>'MASTER_QUEUE'!J112</x:f>
        <x:v>SMALL_TECH_PROFESSIONAL</x:v>
      </x:c>
      <x:c r="K53" s="7" t="str">
        <x:f>'MASTER_QUEUE'!K112</x:f>
        <x:v>Owner &gt; Founder &gt; Co-Founder &gt; President &gt; CEO &gt; Managing Partner &gt; COO &gt; People Operations Manager &gt; HR Manager</x:v>
      </x:c>
    </x:row>
    <x:row r="54" ht="42" customHeight="1">
      <x:c r="A54" t="str">
        <x:f>'MASTER_QUEUE'!A113</x:f>
        <x:v>Dimeo Construction Company</x:v>
      </x:c>
      <x:c r="B54" t="str">
        <x:f>'MASTER_QUEUE'!B113</x:f>
        <x:v>Construction</x:v>
      </x:c>
      <x:c r="C54" s="12" t="n">
        <x:f>'MASTER_QUEUE'!C113</x:f>
        <x:v>317</x:v>
      </x:c>
      <x:c r="D54" s="13" t="str">
        <x:f>'MASTER_QUEUE'!D113</x:f>
        <x:v>201-500</x:v>
      </x:c>
      <x:c r="E54" s="7" t="str">
        <x:f>'MASTER_QUEUE'!E113</x:f>
        <x:v>https://www.linkedin.com/company/dimeo-construction-company</x:v>
      </x:c>
      <x:c r="F54" s="7" t="str">
        <x:f>'MASTER_QUEUE'!F113</x:f>
        <x:v>https://dimeo.com/</x:v>
      </x:c>
      <x:c r="G54" t="str">
        <x:f>'MASTER_QUEUE'!G113</x:f>
        <x:v>Boston</x:v>
      </x:c>
      <x:c r="H54" s="8" t="str">
        <x:f>'MASTER_QUEUE'!H113</x:f>
        <x:v>Prospeo</x:v>
      </x:c>
      <x:c r="I54" s="8" t="str">
        <x:f>'MASTER_QUEUE'!I113</x:f>
        <x:v>Not Started</x:v>
      </x:c>
      <x:c r="J54" s="8" t="str">
        <x:f>'MASTER_QUEUE'!J113</x:f>
        <x:v>LARGE_CONSTRUCTION_TRADES</x:v>
      </x:c>
      <x:c r="K54" s="7" t="str">
        <x:f>'MASTER_QUEUE'!K113</x:f>
        <x:v>Operations Director &gt; Safety Director &gt; Training Director &gt; L&amp;D Director &gt; HR Director &gt; VP of Operations</x:v>
      </x:c>
    </x:row>
    <x:row r="55" ht="42" customHeight="1">
      <x:c r="A55" t="str">
        <x:f>'MASTER_QUEUE'!A114</x:f>
        <x:v>Eagle Stainless Tube &amp; Fabrication</x:v>
      </x:c>
      <x:c r="B55" t="str">
        <x:f>'MASTER_QUEUE'!B114</x:f>
        <x:v>Metal Fabrication</x:v>
      </x:c>
      <x:c r="C55" s="12" t="n">
        <x:f>'MASTER_QUEUE'!C114</x:f>
        <x:v>34</x:v>
      </x:c>
      <x:c r="D55" s="13" t="str">
        <x:f>'MASTER_QUEUE'!D114</x:f>
        <x:v>51-200</x:v>
      </x:c>
      <x:c r="E55" s="7" t="str">
        <x:f>'MASTER_QUEUE'!E114</x:f>
        <x:v>https://www.linkedin.com/company/eagle-stainless-tube-%26-fabrication-inc-</x:v>
      </x:c>
      <x:c r="F55" s="7" t="str">
        <x:f>'MASTER_QUEUE'!F114</x:f>
        <x:v>https://eagletube.com/</x:v>
      </x:c>
      <x:c r="G55" t="str">
        <x:f>'MASTER_QUEUE'!G114</x:f>
        <x:v>Franklin</x:v>
      </x:c>
      <x:c r="H55" s="8" t="str">
        <x:f>'MASTER_QUEUE'!H114</x:f>
        <x:v>Prospeo</x:v>
      </x:c>
      <x:c r="I55" s="8" t="str">
        <x:f>'MASTER_QUEUE'!I114</x:f>
        <x:v>Not Started</x:v>
      </x:c>
      <x:c r="J55" s="8" t="str">
        <x:f>'MASTER_QUEUE'!J114</x:f>
        <x:v>MID_MANUFACTURING</x:v>
      </x:c>
      <x:c r="K55" s="7" t="str">
        <x:f>'MASTER_QUEUE'!K114</x:f>
        <x:v>Plant Manager &gt; Operations Director &gt; HR Director &gt; Training Manager &gt; Safety Manager &gt; President &gt; CEO</x:v>
      </x:c>
    </x:row>
    <x:row r="56" ht="42" customHeight="1">
      <x:c r="A56" t="str">
        <x:f>'MASTER_QUEUE'!A115</x:f>
        <x:v>Electronic Products</x:v>
      </x:c>
      <x:c r="B56" t="str">
        <x:f>'MASTER_QUEUE'!B115</x:f>
        <x:v>Electronic Components Manufacturing</x:v>
      </x:c>
      <x:c r="C56" s="12" t="str">
        <x:f>'MASTER_QUEUE'!C115</x:f>
        <x:v>Not visible</x:v>
      </x:c>
      <x:c r="D56" s="13" t="str">
        <x:f>'MASTER_QUEUE'!D115</x:f>
        <x:v>51-200</x:v>
      </x:c>
      <x:c r="E56" s="7" t="str">
        <x:f>'MASTER_QUEUE'!E115</x:f>
        <x:v>https://www.linkedin.com/company/electronic-products-epi</x:v>
      </x:c>
      <x:c r="F56" s="7" t="str">
        <x:f>'MASTER_QUEUE'!F115</x:f>
        <x:v>https://epihermetics.com/</x:v>
      </x:c>
      <x:c r="G56" t="str">
        <x:f>'MASTER_QUEUE'!G115</x:f>
        <x:v>Newburyport</x:v>
      </x:c>
      <x:c r="H56" s="8" t="str">
        <x:f>'MASTER_QUEUE'!H115</x:f>
        <x:v>Prospeo</x:v>
      </x:c>
      <x:c r="I56" s="8" t="str">
        <x:f>'MASTER_QUEUE'!I115</x:f>
        <x:v>Not Started</x:v>
      </x:c>
      <x:c r="J56" s="8" t="str">
        <x:f>'MASTER_QUEUE'!J115</x:f>
        <x:v>MID_MANUFACTURING</x:v>
      </x:c>
      <x:c r="K56" s="7" t="str">
        <x:f>'MASTER_QUEUE'!K115</x:f>
        <x:v>Plant Manager &gt; Operations Director &gt; HR Director &gt; Training Manager &gt; Safety Manager &gt; President &gt; CEO</x:v>
      </x:c>
    </x:row>
    <x:row r="57" ht="42" customHeight="1">
      <x:c r="A57" t="str">
        <x:f>'MASTER_QUEUE'!A116</x:f>
        <x:v>Embrace Pathways to Wellness</x:v>
      </x:c>
      <x:c r="B57" t="str">
        <x:f>'MASTER_QUEUE'!B116</x:f>
        <x:v>Behavioral Health Services</x:v>
      </x:c>
      <x:c r="C57" s="12" t="n">
        <x:f>'MASTER_QUEUE'!C116</x:f>
        <x:v>39</x:v>
      </x:c>
      <x:c r="D57" s="13" t="str">
        <x:f>'MASTER_QUEUE'!D116</x:f>
        <x:v>11-50</x:v>
      </x:c>
      <x:c r="E57" s="7" t="str">
        <x:f>'MASTER_QUEUE'!E116</x:f>
        <x:v>https://www.linkedin.com/company/embrace-pathways-to-wellness</x:v>
      </x:c>
      <x:c r="F57" s="7" t="str">
        <x:f>'MASTER_QUEUE'!F116</x:f>
        <x:v>https://embracepathways.com/</x:v>
      </x:c>
      <x:c r="G57" t="str">
        <x:f>'MASTER_QUEUE'!G116</x:f>
        <x:v>Peabody</x:v>
      </x:c>
      <x:c r="H57" s="8" t="str">
        <x:f>'MASTER_QUEUE'!H116</x:f>
        <x:v>Prospeo</x:v>
      </x:c>
      <x:c r="I57" s="8" t="str">
        <x:f>'MASTER_QUEUE'!I116</x:f>
        <x:v>Not Started</x:v>
      </x:c>
      <x:c r="J57" s="8" t="str">
        <x:f>'MASTER_QUEUE'!J116</x:f>
        <x:v>SMALL_HEALTHCARE</x:v>
      </x:c>
      <x:c r="K57" s="7" t="str">
        <x:f>'MASTER_QUEUE'!K116</x:f>
        <x:v>Owner &gt; Founder &gt; Co-Founder &gt; President &gt; CEO &gt; Executive Director &gt; Practice Administrator &gt; HR Manager &gt; Clinical Education Manager</x:v>
      </x:c>
    </x:row>
    <x:row r="58" ht="42" customHeight="1">
      <x:c r="A58" t="str">
        <x:f>'MASTER_QUEUE'!A117</x:f>
        <x:v>Energetiq</x:v>
      </x:c>
      <x:c r="B58" t="str">
        <x:f>'MASTER_QUEUE'!B117</x:f>
        <x:v>Photonics Equipment Manufacturing</x:v>
      </x:c>
      <x:c r="C58" s="12" t="n">
        <x:f>'MASTER_QUEUE'!C117</x:f>
        <x:v>102</x:v>
      </x:c>
      <x:c r="D58" s="13" t="str">
        <x:f>'MASTER_QUEUE'!D117</x:f>
        <x:v>51-200</x:v>
      </x:c>
      <x:c r="E58" s="7" t="str">
        <x:f>'MASTER_QUEUE'!E117</x:f>
        <x:v>https://www.linkedin.com/company/energetiq-technology</x:v>
      </x:c>
      <x:c r="F58" s="7" t="str">
        <x:f>'MASTER_QUEUE'!F117</x:f>
        <x:v>https://www.energetiq.com/</x:v>
      </x:c>
      <x:c r="G58" t="str">
        <x:f>'MASTER_QUEUE'!G117</x:f>
        <x:v>Wilmington</x:v>
      </x:c>
      <x:c r="H58" s="8" t="str">
        <x:f>'MASTER_QUEUE'!H117</x:f>
        <x:v>Prospeo</x:v>
      </x:c>
      <x:c r="I58" s="8" t="str">
        <x:f>'MASTER_QUEUE'!I117</x:f>
        <x:v>Not Started</x:v>
      </x:c>
      <x:c r="J58" s="8" t="str">
        <x:f>'MASTER_QUEUE'!J117</x:f>
        <x:v>MID_MANUFACTURING</x:v>
      </x:c>
      <x:c r="K58" s="7" t="str">
        <x:f>'MASTER_QUEUE'!K117</x:f>
        <x:v>Plant Manager &gt; Operations Director &gt; HR Director &gt; Training Manager &gt; Safety Manager &gt; President &gt; CEO</x:v>
      </x:c>
    </x:row>
    <x:row r="59" ht="42" customHeight="1">
      <x:c r="A59" t="str">
        <x:f>'MASTER_QUEUE'!A118</x:f>
        <x:v>Entrada Therapeutics</x:v>
      </x:c>
      <x:c r="B59" t="str">
        <x:f>'MASTER_QUEUE'!B118</x:f>
        <x:v>Biotechnology</x:v>
      </x:c>
      <x:c r="C59" s="12" t="n">
        <x:f>'MASTER_QUEUE'!C118</x:f>
        <x:v>209</x:v>
      </x:c>
      <x:c r="D59" s="13" t="str">
        <x:f>'MASTER_QUEUE'!D118</x:f>
        <x:v>51-200</x:v>
      </x:c>
      <x:c r="E59" s="7" t="str">
        <x:f>'MASTER_QUEUE'!E118</x:f>
        <x:v>https://www.linkedin.com/company/entradatx</x:v>
      </x:c>
      <x:c r="F59" s="7" t="str">
        <x:f>'MASTER_QUEUE'!F118</x:f>
        <x:v>https://www.entradatx.com/</x:v>
      </x:c>
      <x:c r="G59" t="str">
        <x:f>'MASTER_QUEUE'!G118</x:f>
        <x:v>Boston</x:v>
      </x:c>
      <x:c r="H59" s="8" t="str">
        <x:f>'MASTER_QUEUE'!H118</x:f>
        <x:v>Prospeo</x:v>
      </x:c>
      <x:c r="I59" s="8" t="str">
        <x:f>'MASTER_QUEUE'!I118</x:f>
        <x:v>Not Started</x:v>
      </x:c>
      <x:c r="J59" s="8" t="str">
        <x:f>'MASTER_QUEUE'!J118</x:f>
        <x:v>LARGE_TECH_PROFESSIONAL</x:v>
      </x:c>
      <x:c r="K59" s="7" t="str">
        <x:f>'MASTER_QUEUE'!K118</x:f>
        <x:v>L&amp;D Director &gt; People Operations Director &gt; Talent Development Director &gt; Organizational Development Director &gt; HR Director &gt; VP of People</x:v>
      </x:c>
    </x:row>
    <x:row r="60" ht="42" customHeight="1">
      <x:c r="A60" t="str">
        <x:f>'MASTER_QUEUE'!A119</x:f>
        <x:v>Everett's Auto Parts</x:v>
      </x:c>
      <x:c r="B60" t="str">
        <x:f>'MASTER_QUEUE'!B119</x:f>
        <x:v>Automotive Parts Retail</x:v>
      </x:c>
      <x:c r="C60" s="12" t="n">
        <x:f>'MASTER_QUEUE'!C119</x:f>
        <x:v>19</x:v>
      </x:c>
      <x:c r="D60" s="13" t="str">
        <x:f>'MASTER_QUEUE'!D119</x:f>
        <x:v>51-200</x:v>
      </x:c>
      <x:c r="E60" s="7" t="str">
        <x:f>'MASTER_QUEUE'!E119</x:f>
        <x:v>https://www.linkedin.com/company/everett-s-auto-parts</x:v>
      </x:c>
      <x:c r="F60" s="7" t="str">
        <x:f>'MASTER_QUEUE'!F119</x:f>
        <x:v>https://www.everettsautoparts.com/</x:v>
      </x:c>
      <x:c r="G60" t="str">
        <x:f>'MASTER_QUEUE'!G119</x:f>
        <x:v>Brockton</x:v>
      </x:c>
      <x:c r="H60" s="8" t="str">
        <x:f>'MASTER_QUEUE'!H119</x:f>
        <x:v>Prospeo</x:v>
      </x:c>
      <x:c r="I60" s="8" t="str">
        <x:f>'MASTER_QUEUE'!I119</x:f>
        <x:v>Not Started</x:v>
      </x:c>
      <x:c r="J60" s="8" t="str">
        <x:f>'MASTER_QUEUE'!J119</x:f>
        <x:v>MID_HOSPITALITY_RETAIL</x:v>
      </x:c>
      <x:c r="K60" s="7" t="str">
        <x:f>'MASTER_QUEUE'!K119</x:f>
        <x:v>General Manager &gt; Operations Director &gt; Training Director &gt; Training Manager &gt; HR Director &gt; Regional Manager &gt; President &gt; CEO</x:v>
      </x:c>
    </x:row>
    <x:row r="61" ht="42" customHeight="1">
      <x:c r="A61" t="str">
        <x:f>'MASTER_QUEUE'!A120</x:f>
        <x:v>Father Bill's &amp; MainSpring, Inc.</x:v>
      </x:c>
      <x:c r="B61" t="str">
        <x:f>'MASTER_QUEUE'!B120</x:f>
        <x:v>Nonprofit &amp; Homeless Services</x:v>
      </x:c>
      <x:c r="C61" s="12" t="n">
        <x:f>'MASTER_QUEUE'!C120</x:f>
        <x:v>191</x:v>
      </x:c>
      <x:c r="D61" s="13" t="str">
        <x:f>'MASTER_QUEUE'!D120</x:f>
        <x:v>51-200</x:v>
      </x:c>
      <x:c r="E61" s="7" t="str">
        <x:f>'MASTER_QUEUE'!E120</x:f>
        <x:v>https://www.linkedin.com/company/father-bill%27s-%26-mainspring</x:v>
      </x:c>
      <x:c r="F61" s="7" t="str">
        <x:f>'MASTER_QUEUE'!F120</x:f>
        <x:v>https://helpfbms.org/</x:v>
      </x:c>
      <x:c r="G61" t="str">
        <x:f>'MASTER_QUEUE'!G120</x:f>
        <x:v>Brockton</x:v>
      </x:c>
      <x:c r="H61" s="8" t="str">
        <x:f>'MASTER_QUEUE'!H120</x:f>
        <x:v>Prospeo</x:v>
      </x:c>
      <x:c r="I61" s="8" t="str">
        <x:f>'MASTER_QUEUE'!I120</x:f>
        <x:v>Not Started</x:v>
      </x:c>
      <x:c r="J61" s="8" t="str">
        <x:f>'MASTER_QUEUE'!J120</x:f>
        <x:v>MID_NONPROFIT_SOCIAL</x:v>
      </x:c>
      <x:c r="K61" s="7" t="str">
        <x:f>'MASTER_QUEUE'!K120</x:f>
        <x:v>Executive Director &gt; Workforce Development Director &gt; Training Director &gt; L&amp;D Director &gt; Operations Director &gt; HR Director</x:v>
      </x:c>
    </x:row>
    <x:row r="62" ht="42" customHeight="1">
      <x:c r="A62" t="str">
        <x:f>'MASTER_QUEUE'!A121</x:f>
        <x:v>Fullers Collision Center</x:v>
      </x:c>
      <x:c r="B62" t="str">
        <x:f>'MASTER_QUEUE'!B121</x:f>
        <x:v>Automotive Repair</x:v>
      </x:c>
      <x:c r="C62" s="12" t="n">
        <x:f>'MASTER_QUEUE'!C121</x:f>
        <x:v>9</x:v>
      </x:c>
      <x:c r="D62" s="13" t="str">
        <x:f>'MASTER_QUEUE'!D121</x:f>
        <x:v>11-50</x:v>
      </x:c>
      <x:c r="E62" s="7" t="str">
        <x:f>'MASTER_QUEUE'!E121</x:f>
        <x:v>https://www.linkedin.com/company/fuller-auto-body</x:v>
      </x:c>
      <x:c r="F62" s="7" t="str">
        <x:f>'MASTER_QUEUE'!F121</x:f>
        <x:v>https://www.fullerscollision.com/</x:v>
      </x:c>
      <x:c r="G62" t="str">
        <x:f>'MASTER_QUEUE'!G121</x:f>
        <x:v>Auburn</x:v>
      </x:c>
      <x:c r="H62" s="8" t="str">
        <x:f>'MASTER_QUEUE'!H121</x:f>
        <x:v>Prospeo</x:v>
      </x:c>
      <x:c r="I62" s="8" t="str">
        <x:f>'MASTER_QUEUE'!I121</x:f>
        <x:v>Not Started</x:v>
      </x:c>
      <x:c r="J62" s="8" t="str">
        <x:f>'MASTER_QUEUE'!J121</x:f>
        <x:v>SMALL_CONSTRUCTION_TRADES</x:v>
      </x:c>
      <x:c r="K62" s="7" t="str">
        <x:f>'MASTER_QUEUE'!K121</x:f>
        <x:v>Owner &gt; Founder &gt; Co-Founder &gt; President &gt; CEO &gt; Operations Manager &gt; Safety Manager &gt; Training Manager &gt; HR Manager</x:v>
      </x:c>
    </x:row>
    <x:row r="63" ht="42" customHeight="1">
      <x:c r="A63" t="str">
        <x:f>'MASTER_QUEUE'!A122</x:f>
        <x:v>Global Interconnect</x:v>
      </x:c>
      <x:c r="B63" t="str">
        <x:f>'MASTER_QUEUE'!B122</x:f>
        <x:v>Electronics Manufacturing</x:v>
      </x:c>
      <x:c r="C63" s="12" t="n">
        <x:f>'MASTER_QUEUE'!C122</x:f>
        <x:v>54</x:v>
      </x:c>
      <x:c r="D63" s="13" t="str">
        <x:f>'MASTER_QUEUE'!D122</x:f>
        <x:v>11-50</x:v>
      </x:c>
      <x:c r="E63" s="7" t="str">
        <x:f>'MASTER_QUEUE'!E122</x:f>
        <x:v>https://www.linkedin.com/company/global-interconnect-inc.</x:v>
      </x:c>
      <x:c r="F63" s="7" t="str">
        <x:f>'MASTER_QUEUE'!F122</x:f>
        <x:v>https://www.globalinterconnect.com/</x:v>
      </x:c>
      <x:c r="G63" t="str">
        <x:f>'MASTER_QUEUE'!G122</x:f>
        <x:v>Pocasset</x:v>
      </x:c>
      <x:c r="H63" s="8" t="str">
        <x:f>'MASTER_QUEUE'!H122</x:f>
        <x:v>Prospeo</x:v>
      </x:c>
      <x:c r="I63" s="8" t="str">
        <x:f>'MASTER_QUEUE'!I122</x:f>
        <x:v>Not Started</x:v>
      </x:c>
      <x:c r="J63" s="8" t="str">
        <x:f>'MASTER_QUEUE'!J122</x:f>
        <x:v>MID_MANUFACTURING</x:v>
      </x:c>
      <x:c r="K63" s="7" t="str">
        <x:f>'MASTER_QUEUE'!K122</x:f>
        <x:v>Plant Manager &gt; Operations Director &gt; HR Director &gt; Training Manager &gt; Safety Manager &gt; President &gt; CEO</x:v>
      </x:c>
    </x:row>
    <x:row r="64" ht="42" customHeight="1">
      <x:c r="A64" t="str">
        <x:f>'MASTER_QUEUE'!A123</x:f>
        <x:v>GreatHorse LLC</x:v>
      </x:c>
      <x:c r="B64" t="str">
        <x:f>'MASTER_QUEUE'!B123</x:f>
        <x:v>Hospitality &amp; Country Clubs</x:v>
      </x:c>
      <x:c r="C64" s="12" t="n">
        <x:f>'MASTER_QUEUE'!C123</x:f>
        <x:v>79</x:v>
      </x:c>
      <x:c r="D64" s="13" t="str">
        <x:f>'MASTER_QUEUE'!D123</x:f>
        <x:v>51-200</x:v>
      </x:c>
      <x:c r="E64" s="7" t="str">
        <x:f>'MASTER_QUEUE'!E123</x:f>
        <x:v>https://www.linkedin.com/company/greathorse</x:v>
      </x:c>
      <x:c r="F64" s="7" t="str">
        <x:f>'MASTER_QUEUE'!F123</x:f>
        <x:v>https://www.greathorse.com/</x:v>
      </x:c>
      <x:c r="G64" t="str">
        <x:f>'MASTER_QUEUE'!G123</x:f>
        <x:v>Hampden</x:v>
      </x:c>
      <x:c r="H64" s="8" t="str">
        <x:f>'MASTER_QUEUE'!H123</x:f>
        <x:v>Prospeo</x:v>
      </x:c>
      <x:c r="I64" s="8" t="str">
        <x:f>'MASTER_QUEUE'!I123</x:f>
        <x:v>Not Started</x:v>
      </x:c>
      <x:c r="J64" s="8" t="str">
        <x:f>'MASTER_QUEUE'!J123</x:f>
        <x:v>MID_HOSPITALITY_RETAIL</x:v>
      </x:c>
      <x:c r="K64" s="7" t="str">
        <x:f>'MASTER_QUEUE'!K123</x:f>
        <x:v>General Manager &gt; Operations Director &gt; Training Director &gt; Training Manager &gt; HR Director &gt; Regional Manager &gt; President &gt; CEO</x:v>
      </x:c>
    </x:row>
    <x:row r="65" ht="42" customHeight="1">
      <x:c r="A65" t="str">
        <x:f>'MASTER_QUEUE'!A124</x:f>
        <x:v>Harpak-ULMA Packaging</x:v>
      </x:c>
      <x:c r="B65" t="str">
        <x:f>'MASTER_QUEUE'!B124</x:f>
        <x:v>Packaging Machinery Manufacturing</x:v>
      </x:c>
      <x:c r="C65" s="12" t="n">
        <x:f>'MASTER_QUEUE'!C124</x:f>
        <x:v>145</x:v>
      </x:c>
      <x:c r="D65" s="13" t="str">
        <x:f>'MASTER_QUEUE'!D124</x:f>
        <x:v>51-200</x:v>
      </x:c>
      <x:c r="E65" s="7" t="str">
        <x:f>'MASTER_QUEUE'!E124</x:f>
        <x:v>https://www.linkedin.com/company/harpak-ulma-packaging-llc</x:v>
      </x:c>
      <x:c r="F65" s="7" t="str">
        <x:f>'MASTER_QUEUE'!F124</x:f>
        <x:v>https://www.harpak-ulma.com/</x:v>
      </x:c>
      <x:c r="G65" t="str">
        <x:f>'MASTER_QUEUE'!G124</x:f>
        <x:v>Taunton</x:v>
      </x:c>
      <x:c r="H65" s="8" t="str">
        <x:f>'MASTER_QUEUE'!H124</x:f>
        <x:v>Prospeo</x:v>
      </x:c>
      <x:c r="I65" s="8" t="str">
        <x:f>'MASTER_QUEUE'!I124</x:f>
        <x:v>Not Started</x:v>
      </x:c>
      <x:c r="J65" s="8" t="str">
        <x:f>'MASTER_QUEUE'!J124</x:f>
        <x:v>MID_MANUFACTURING</x:v>
      </x:c>
      <x:c r="K65" s="7" t="str">
        <x:f>'MASTER_QUEUE'!K124</x:f>
        <x:v>Plant Manager &gt; Operations Director &gt; HR Director &gt; Training Manager &gt; Safety Manager &gt; President &gt; CEO</x:v>
      </x:c>
    </x:row>
    <x:row r="66" ht="42" customHeight="1">
      <x:c r="A66" t="str">
        <x:f>'MASTER_QUEUE'!A125</x:f>
        <x:v>Headwall Photonics</x:v>
      </x:c>
      <x:c r="B66" t="str">
        <x:f>'MASTER_QUEUE'!B125</x:f>
        <x:v>Optical Instrument Manufacturing</x:v>
      </x:c>
      <x:c r="C66" s="12" t="n">
        <x:f>'MASTER_QUEUE'!C125</x:f>
        <x:v>86</x:v>
      </x:c>
      <x:c r="D66" s="13" t="str">
        <x:f>'MASTER_QUEUE'!D125</x:f>
        <x:v>51-200</x:v>
      </x:c>
      <x:c r="E66" s="7" t="str">
        <x:f>'MASTER_QUEUE'!E125</x:f>
        <x:v>https://www.linkedin.com/company/headwall-global</x:v>
      </x:c>
      <x:c r="F66" s="7" t="str">
        <x:f>'MASTER_QUEUE'!F125</x:f>
        <x:v>https://headwall.com/</x:v>
      </x:c>
      <x:c r="G66" t="str">
        <x:f>'MASTER_QUEUE'!G125</x:f>
        <x:v>Bolton</x:v>
      </x:c>
      <x:c r="H66" s="8" t="str">
        <x:f>'MASTER_QUEUE'!H125</x:f>
        <x:v>Prospeo</x:v>
      </x:c>
      <x:c r="I66" s="8" t="str">
        <x:f>'MASTER_QUEUE'!I125</x:f>
        <x:v>Not Started</x:v>
      </x:c>
      <x:c r="J66" s="8" t="str">
        <x:f>'MASTER_QUEUE'!J125</x:f>
        <x:v>MID_MANUFACTURING</x:v>
      </x:c>
      <x:c r="K66" s="7" t="str">
        <x:f>'MASTER_QUEUE'!K125</x:f>
        <x:v>Plant Manager &gt; Operations Director &gt; HR Director &gt; Training Manager &gt; Safety Manager &gt; President &gt; CEO</x:v>
      </x:c>
    </x:row>
    <x:row r="67" ht="42" customHeight="1">
      <x:c r="A67" t="str">
        <x:f>'MASTER_QUEUE'!A126</x:f>
        <x:v>Hogan Technology, Inc.</x:v>
      </x:c>
      <x:c r="B67" t="str">
        <x:f>'MASTER_QUEUE'!B126</x:f>
        <x:v>IT Services &amp; Consulting</x:v>
      </x:c>
      <x:c r="C67" s="12" t="n">
        <x:f>'MASTER_QUEUE'!C126</x:f>
        <x:v>17</x:v>
      </x:c>
      <x:c r="D67" s="13" t="str">
        <x:f>'MASTER_QUEUE'!D126</x:f>
        <x:v>11-50</x:v>
      </x:c>
      <x:c r="E67" s="7" t="str">
        <x:f>'MASTER_QUEUE'!E126</x:f>
        <x:v>https://www.linkedin.com/company/hogan-technology-inc-</x:v>
      </x:c>
      <x:c r="F67" s="7" t="str">
        <x:f>'MASTER_QUEUE'!F126</x:f>
        <x:v>https://teamhogan.com/</x:v>
      </x:c>
      <x:c r="G67" t="str">
        <x:f>'MASTER_QUEUE'!G126</x:f>
        <x:v>Easthampton</x:v>
      </x:c>
      <x:c r="H67" s="8" t="str">
        <x:f>'MASTER_QUEUE'!H126</x:f>
        <x:v>Prospeo</x:v>
      </x:c>
      <x:c r="I67" s="8" t="str">
        <x:f>'MASTER_QUEUE'!I126</x:f>
        <x:v>Not Started</x:v>
      </x:c>
      <x:c r="J67" s="8" t="str">
        <x:f>'MASTER_QUEUE'!J126</x:f>
        <x:v>SMALL_TECH_PROFESSIONAL</x:v>
      </x:c>
      <x:c r="K67" s="7" t="str">
        <x:f>'MASTER_QUEUE'!K126</x:f>
        <x:v>Owner &gt; Founder &gt; Co-Founder &gt; President &gt; CEO &gt; Managing Partner &gt; COO &gt; People Operations Manager &gt; HR Manager</x:v>
      </x:c>
    </x:row>
    <x:row r="68" ht="42" customHeight="1">
      <x:c r="A68" t="str">
        <x:f>'MASTER_QUEUE'!A127</x:f>
        <x:v>Hojoko</x:v>
      </x:c>
      <x:c r="B68" t="str">
        <x:f>'MASTER_QUEUE'!B127</x:f>
        <x:v>Restaurants</x:v>
      </x:c>
      <x:c r="C68" s="12" t="str">
        <x:f>'MASTER_QUEUE'!C127</x:f>
        <x:v>Not visible</x:v>
      </x:c>
      <x:c r="D68" s="13" t="str">
        <x:f>'MASTER_QUEUE'!D127</x:f>
        <x:v>Not visible</x:v>
      </x:c>
      <x:c r="E68" s="7" t="str">
        <x:f>'MASTER_QUEUE'!E127</x:f>
        <x:v>https://www.linkedin.com/company/cushman-concepts</x:v>
      </x:c>
      <x:c r="F68" s="7" t="str">
        <x:f>'MASTER_QUEUE'!F127</x:f>
        <x:v>https://www.hojokoboston.com/</x:v>
      </x:c>
      <x:c r="G68" t="str">
        <x:f>'MASTER_QUEUE'!G127</x:f>
        <x:v>Boston</x:v>
      </x:c>
      <x:c r="H68" s="8" t="str">
        <x:f>'MASTER_QUEUE'!H127</x:f>
        <x:v>Prospeo</x:v>
      </x:c>
      <x:c r="I68" s="8" t="str">
        <x:f>'MASTER_QUEUE'!I127</x:f>
        <x:v>Not Started</x:v>
      </x:c>
      <x:c r="J68" s="8" t="str">
        <x:f>'MASTER_QUEUE'!J127</x:f>
        <x:v>UNKNOWN_HOSPITALITY_RETAIL</x:v>
      </x:c>
      <x:c r="K68" s="7" t="str">
        <x:f>'MASTER_QUEUE'!K127</x:f>
        <x:v>Owner &gt; President &gt; CEO &gt; General Manager &gt; Operations Director &gt; Training Manager &gt; HR Director</x:v>
      </x:c>
    </x:row>
    <x:row r="69" ht="42" customHeight="1">
      <x:c r="A69" t="str">
        <x:f>'MASTER_QUEUE'!A128</x:f>
        <x:v>Holt &amp; Bugbee</x:v>
      </x:c>
      <x:c r="B69" t="str">
        <x:f>'MASTER_QUEUE'!B128</x:f>
        <x:v>Lumber &amp; Building Materials</x:v>
      </x:c>
      <x:c r="C69" s="12" t="str">
        <x:f>'MASTER_QUEUE'!C128</x:f>
        <x:v>Not visible</x:v>
      </x:c>
      <x:c r="D69" s="13" t="str">
        <x:f>'MASTER_QUEUE'!D128</x:f>
        <x:v>51-200</x:v>
      </x:c>
      <x:c r="E69" s="7" t="str">
        <x:f>'MASTER_QUEUE'!E128</x:f>
        <x:v>https://www.linkedin.com/company/holt-%26-bugbee-company</x:v>
      </x:c>
      <x:c r="F69" s="7" t="str">
        <x:f>'MASTER_QUEUE'!F128</x:f>
        <x:v>https://www.holtandbugbee.com/</x:v>
      </x:c>
      <x:c r="G69" t="str">
        <x:f>'MASTER_QUEUE'!G128</x:f>
        <x:v>Tewksbury</x:v>
      </x:c>
      <x:c r="H69" s="8" t="str">
        <x:f>'MASTER_QUEUE'!H128</x:f>
        <x:v>Prospeo</x:v>
      </x:c>
      <x:c r="I69" s="8" t="str">
        <x:f>'MASTER_QUEUE'!I128</x:f>
        <x:v>Not Started</x:v>
      </x:c>
      <x:c r="J69" s="8" t="str">
        <x:f>'MASTER_QUEUE'!J128</x:f>
        <x:v>MID_CONSTRUCTION_TRADES</x:v>
      </x:c>
      <x:c r="K69" s="7" t="str">
        <x:f>'MASTER_QUEUE'!K128</x:f>
        <x:v>Operations Director &gt; Safety Director &gt; Safety Manager &gt; Training Manager &gt; HR Director &gt; HR Manager &gt; President &gt; CEO</x:v>
      </x:c>
    </x:row>
    <x:row r="70" ht="42" customHeight="1">
      <x:c r="A70" t="str">
        <x:f>'MASTER_QUEUE'!A129</x:f>
        <x:v>Homes For Our Troops</x:v>
      </x:c>
      <x:c r="B70" t="str">
        <x:f>'MASTER_QUEUE'!B129</x:f>
        <x:v>Nonprofit &amp; Construction Services</x:v>
      </x:c>
      <x:c r="C70" s="12" t="n">
        <x:f>'MASTER_QUEUE'!C129</x:f>
        <x:v>120</x:v>
      </x:c>
      <x:c r="D70" s="13" t="str">
        <x:f>'MASTER_QUEUE'!D129</x:f>
        <x:v>51-200</x:v>
      </x:c>
      <x:c r="E70" s="7" t="str">
        <x:f>'MASTER_QUEUE'!E129</x:f>
        <x:v>https://www.linkedin.com/company/homes-for-our-troops</x:v>
      </x:c>
      <x:c r="F70" s="7" t="str">
        <x:f>'MASTER_QUEUE'!F129</x:f>
        <x:v>https://www.hfotusa.org/</x:v>
      </x:c>
      <x:c r="G70" t="str">
        <x:f>'MASTER_QUEUE'!G129</x:f>
        <x:v>Taunton</x:v>
      </x:c>
      <x:c r="H70" s="8" t="str">
        <x:f>'MASTER_QUEUE'!H129</x:f>
        <x:v>Prospeo</x:v>
      </x:c>
      <x:c r="I70" s="8" t="str">
        <x:f>'MASTER_QUEUE'!I129</x:f>
        <x:v>Not Started</x:v>
      </x:c>
      <x:c r="J70" s="8" t="str">
        <x:f>'MASTER_QUEUE'!J129</x:f>
        <x:v>MID_NONPROFIT_SOCIAL</x:v>
      </x:c>
      <x:c r="K70" s="7" t="str">
        <x:f>'MASTER_QUEUE'!K129</x:f>
        <x:v>Executive Director &gt; Workforce Development Director &gt; Training Director &gt; L&amp;D Director &gt; Operations Director &gt; HR Director</x:v>
      </x:c>
    </x:row>
    <x:row r="71" ht="42" customHeight="1">
      <x:c r="A71" t="str">
        <x:f>'MASTER_QUEUE'!A130</x:f>
        <x:v>Howes Temco</x:v>
      </x:c>
      <x:c r="B71" t="str">
        <x:f>'MASTER_QUEUE'!B130</x:f>
        <x:v>Precision Manufacturing</x:v>
      </x:c>
      <x:c r="C71" s="12" t="str">
        <x:f>'MASTER_QUEUE'!C130</x:f>
        <x:v>Not visible</x:v>
      </x:c>
      <x:c r="D71" s="13" t="str">
        <x:f>'MASTER_QUEUE'!D130</x:f>
        <x:v>Not visible</x:v>
      </x:c>
      <x:c r="E71" s="7" t="str">
        <x:f>'MASTER_QUEUE'!E130</x:f>
        <x:v>Not verified</x:v>
      </x:c>
      <x:c r="F71" s="7" t="str">
        <x:f>'MASTER_QUEUE'!F130</x:f>
        <x:v>Not verified</x:v>
      </x:c>
      <x:c r="G71" t="str">
        <x:f>'MASTER_QUEUE'!G130</x:f>
        <x:v>Attleboro</x:v>
      </x:c>
      <x:c r="H71" s="8" t="str">
        <x:f>'MASTER_QUEUE'!H130</x:f>
        <x:v>Prospeo</x:v>
      </x:c>
      <x:c r="I71" s="8" t="str">
        <x:f>'MASTER_QUEUE'!I130</x:f>
        <x:v>Not Started</x:v>
      </x:c>
      <x:c r="J71" s="8" t="str">
        <x:f>'MASTER_QUEUE'!J130</x:f>
        <x:v>UNKNOWN_MANUFACTURING</x:v>
      </x:c>
      <x:c r="K71" s="7" t="str">
        <x:f>'MASTER_QUEUE'!K130</x:f>
        <x:v>Owner &gt; President &gt; CEO &gt; Plant Manager &gt; Operations Director &gt; Training Manager &gt; HR Director</x:v>
      </x:c>
    </x:row>
  </x:sheetData>
  <x:conditionalFormatting sqref="C2:F71">
    <x:cfRule type="containsText" dxfId="14" priority="1" operator="containsText" text="Not verified"/>
    <x:cfRule type="containsText" dxfId="15" priority="2" operator="containsText" text="Not visible"/>
  </x:conditionalFormatting>
  <x:conditionalFormatting sqref="I2:I71">
    <x:cfRule type="containsText" dxfId="16" priority="3" operator="containsText" text="Not Started"/>
    <x:cfRule type="containsText" dxfId="17" priority="4" operator="containsText" text="In Progress"/>
    <x:cfRule type="containsText" dxfId="18" priority="5" operator="containsText" text="Ready"/>
    <x:cfRule type="containsText" dxfId="19" priority="6" operator="containsText" text="Needs Review"/>
    <x:cfRule type="containsText" dxfId="20" priority="7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d3142330649e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5" hidden="0" customWidth="1"/>
    <x:col min="3" max="3" width="21" hidden="0" customWidth="1"/>
    <x:col min="4" max="4" width="22" hidden="0" customWidth="1"/>
    <x:col min="5" max="5" width="52" hidden="0" customWidth="1"/>
    <x:col min="6" max="6" width="42" hidden="0" customWidth="1"/>
    <x:col min="7" max="7" width="20" hidden="0" customWidth="1"/>
    <x:col min="8" max="8" width="17" hidden="0" customWidth="1"/>
    <x:col min="9" max="9" width="19" hidden="0" customWidth="1"/>
    <x:col min="10" max="10" width="34" hidden="0" customWidth="1"/>
    <x:col min="11" max="11" width="92" hidden="0" customWidth="1"/>
  </x:cols>
  <x:sheetData>
    <x:row r="1" ht="30" customHeight="1">
      <x:c r="A1" t="str">
        <x:v>company</x:v>
      </x:c>
      <x:c r="B1" t="str">
        <x:v>industry</x:v>
      </x:c>
      <x:c r="C1" t="str">
        <x:v>linkedinEmployeeCount</x:v>
      </x:c>
      <x:c r="D1" t="str">
        <x:v>linkedInCompanySize</x:v>
      </x:c>
      <x:c r="E1" t="str">
        <x:v>linkedInUrl</x:v>
      </x:c>
      <x:c r="F1" t="str">
        <x:v>website</x:v>
      </x:c>
      <x:c r="G1" t="str">
        <x:v>city</x:v>
      </x:c>
      <x:c r="H1" t="str">
        <x:v>assignedTool</x:v>
      </x:c>
      <x:c r="I1" t="str">
        <x:v>reviewStatus</x:v>
      </x:c>
      <x:c r="J1" t="str">
        <x:v>targetingTrack</x:v>
      </x:c>
      <x:c r="K1" t="str">
        <x:v>targetTitlePriority</x:v>
      </x:c>
    </x:row>
    <x:row r="2" ht="42" customHeight="1">
      <x:c r="A2" t="str">
        <x:f>'MASTER_QUEUE'!A131</x:f>
        <x:v>Human Systems Integration, Inc.</x:v>
      </x:c>
      <x:c r="B2" t="str">
        <x:f>'MASTER_QUEUE'!B131</x:f>
        <x:v>Defense &amp; Aerospace R&amp;D</x:v>
      </x:c>
      <x:c r="C2" s="12" t="n">
        <x:f>'MASTER_QUEUE'!C131</x:f>
        <x:v>27</x:v>
      </x:c>
      <x:c r="D2" s="13" t="str">
        <x:f>'MASTER_QUEUE'!D131</x:f>
        <x:v>11-50</x:v>
      </x:c>
      <x:c r="E2" s="7" t="str">
        <x:f>'MASTER_QUEUE'!E131</x:f>
        <x:v>https://www.linkedin.com/company/human-systems-integration-inc</x:v>
      </x:c>
      <x:c r="F2" s="7" t="str">
        <x:f>'MASTER_QUEUE'!F131</x:f>
        <x:v>https://www.humansystemsintegration.com/</x:v>
      </x:c>
      <x:c r="G2" t="str">
        <x:f>'MASTER_QUEUE'!G131</x:f>
        <x:v>East Walpole</x:v>
      </x:c>
      <x:c r="H2" s="8" t="str">
        <x:f>'MASTER_QUEUE'!H131</x:f>
        <x:v>Skrapp</x:v>
      </x:c>
      <x:c r="I2" s="8" t="str">
        <x:f>'MASTER_QUEUE'!I131</x:f>
        <x:v>Not Started</x:v>
      </x:c>
      <x:c r="J2" s="8" t="str">
        <x:f>'MASTER_QUEUE'!J131</x:f>
        <x:v>SMALL_TECH_PROFESSIONAL</x:v>
      </x:c>
      <x:c r="K2" s="7" t="str">
        <x:f>'MASTER_QUEUE'!K131</x:f>
        <x:v>Owner &gt; Founder &gt; Co-Founder &gt; President &gt; CEO &gt; Managing Partner &gt; COO &gt; People Operations Manager &gt; HR Manager</x:v>
      </x:c>
    </x:row>
    <x:row r="3" ht="42" customHeight="1">
      <x:c r="A3" t="str">
        <x:f>'MASTER_QUEUE'!A132</x:f>
        <x:v>iCorps Technologies</x:v>
      </x:c>
      <x:c r="B3" t="str">
        <x:f>'MASTER_QUEUE'!B132</x:f>
        <x:v>IT Services &amp; Consulting</x:v>
      </x:c>
      <x:c r="C3" s="12" t="n">
        <x:f>'MASTER_QUEUE'!C132</x:f>
        <x:v>90</x:v>
      </x:c>
      <x:c r="D3" s="13" t="str">
        <x:f>'MASTER_QUEUE'!D132</x:f>
        <x:v>51-200</x:v>
      </x:c>
      <x:c r="E3" s="7" t="str">
        <x:f>'MASTER_QUEUE'!E132</x:f>
        <x:v>https://www.linkedin.com/company/icorps-technologies</x:v>
      </x:c>
      <x:c r="F3" s="7" t="str">
        <x:f>'MASTER_QUEUE'!F132</x:f>
        <x:v>https://www.icorps.com/</x:v>
      </x:c>
      <x:c r="G3" t="str">
        <x:f>'MASTER_QUEUE'!G132</x:f>
        <x:v>Boston</x:v>
      </x:c>
      <x:c r="H3" s="8" t="str">
        <x:f>'MASTER_QUEUE'!H132</x:f>
        <x:v>Skrapp</x:v>
      </x:c>
      <x:c r="I3" s="8" t="str">
        <x:f>'MASTER_QUEUE'!I132</x:f>
        <x:v>Not Started</x:v>
      </x:c>
      <x:c r="J3" s="8" t="str">
        <x:f>'MASTER_QUEUE'!J132</x:f>
        <x:v>MID_TECH_PROFESSIONAL</x:v>
      </x:c>
      <x:c r="K3" s="7" t="str">
        <x:f>'MASTER_QUEUE'!K132</x:f>
        <x:v>People Operations Director &gt; HR Director &gt; L&amp;D Manager &gt; Talent Development Manager &gt; Operations Director &gt; Managing Partner &gt; CEO</x:v>
      </x:c>
    </x:row>
    <x:row r="4" ht="42" customHeight="1">
      <x:c r="A4" t="str">
        <x:f>'MASTER_QUEUE'!A133</x:f>
        <x:v>Interprint</x:v>
      </x:c>
      <x:c r="B4" t="str">
        <x:f>'MASTER_QUEUE'!B133</x:f>
        <x:v>Decorative Surface Printing</x:v>
      </x:c>
      <x:c r="C4" s="12" t="str">
        <x:f>'MASTER_QUEUE'!C133</x:f>
        <x:v>Not visible</x:v>
      </x:c>
      <x:c r="D4" s="13" t="str">
        <x:f>'MASTER_QUEUE'!D133</x:f>
        <x:v>1,001-5,000</x:v>
      </x:c>
      <x:c r="E4" s="7" t="str">
        <x:f>'MASTER_QUEUE'!E133</x:f>
        <x:v>https://www.linkedin.com/company/interprint-group</x:v>
      </x:c>
      <x:c r="F4" s="7" t="str">
        <x:f>'MASTER_QUEUE'!F133</x:f>
        <x:v>https://www.interprint.com/</x:v>
      </x:c>
      <x:c r="G4" t="str">
        <x:f>'MASTER_QUEUE'!G133</x:f>
        <x:v>Pittsfield</x:v>
      </x:c>
      <x:c r="H4" s="8" t="str">
        <x:f>'MASTER_QUEUE'!H133</x:f>
        <x:v>Skrapp</x:v>
      </x:c>
      <x:c r="I4" s="8" t="str">
        <x:f>'MASTER_QUEUE'!I133</x:f>
        <x:v>Not Started</x:v>
      </x:c>
      <x:c r="J4" s="8" t="str">
        <x:f>'MASTER_QUEUE'!J133</x:f>
        <x:v>ENTERPRISE_MANUFACTURING</x:v>
      </x:c>
      <x:c r="K4" s="7" t="str">
        <x:f>'MASTER_QUEUE'!K133</x:f>
        <x:v>Plant Manager &gt; Training Director &gt; L&amp;D Director &gt; Workforce Development Director &gt; Operations Director &gt; HR Director &gt; VP of HR</x:v>
      </x:c>
    </x:row>
    <x:row r="5" ht="42" customHeight="1">
      <x:c r="A5" t="str">
        <x:f>'MASTER_QUEUE'!A134</x:f>
        <x:v>Ironclad Services</x:v>
      </x:c>
      <x:c r="B5" t="str">
        <x:f>'MASTER_QUEUE'!B134</x:f>
        <x:v>Commercial Construction</x:v>
      </x:c>
      <x:c r="C5" s="12" t="n">
        <x:f>'MASTER_QUEUE'!C134</x:f>
        <x:v>20</x:v>
      </x:c>
      <x:c r="D5" s="13" t="str">
        <x:f>'MASTER_QUEUE'!D134</x:f>
        <x:v>11-50</x:v>
      </x:c>
      <x:c r="E5" s="7" t="str">
        <x:f>'MASTER_QUEUE'!E134</x:f>
        <x:v>https://www.linkedin.com/company/ironclad-services</x:v>
      </x:c>
      <x:c r="F5" s="7" t="str">
        <x:f>'MASTER_QUEUE'!F134</x:f>
        <x:v>https://www.ironcladservices.com/</x:v>
      </x:c>
      <x:c r="G5" t="str">
        <x:f>'MASTER_QUEUE'!G134</x:f>
        <x:v>Springfield</x:v>
      </x:c>
      <x:c r="H5" s="8" t="str">
        <x:f>'MASTER_QUEUE'!H134</x:f>
        <x:v>Skrapp</x:v>
      </x:c>
      <x:c r="I5" s="8" t="str">
        <x:f>'MASTER_QUEUE'!I134</x:f>
        <x:v>Not Started</x:v>
      </x:c>
      <x:c r="J5" s="8" t="str">
        <x:f>'MASTER_QUEUE'!J134</x:f>
        <x:v>SMALL_CONSTRUCTION_TRADES</x:v>
      </x:c>
      <x:c r="K5" s="7" t="str">
        <x:f>'MASTER_QUEUE'!K134</x:f>
        <x:v>Owner &gt; Founder &gt; Co-Founder &gt; President &gt; CEO &gt; Operations Manager &gt; Safety Manager &gt; Training Manager &gt; HR Manager</x:v>
      </x:c>
    </x:row>
    <x:row r="6" ht="42" customHeight="1">
      <x:c r="A6" t="str">
        <x:f>'MASTER_QUEUE'!A135</x:f>
        <x:v>ISlide</x:v>
      </x:c>
      <x:c r="B6" t="str">
        <x:f>'MASTER_QUEUE'!B135</x:f>
        <x:v>Footwear &amp; Apparel</x:v>
      </x:c>
      <x:c r="C6" s="12" t="n">
        <x:f>'MASTER_QUEUE'!C135</x:f>
        <x:v>27</x:v>
      </x:c>
      <x:c r="D6" s="13" t="str">
        <x:f>'MASTER_QUEUE'!D135</x:f>
        <x:v>11-50</x:v>
      </x:c>
      <x:c r="E6" s="7" t="str">
        <x:f>'MASTER_QUEUE'!E135</x:f>
        <x:v>https://www.linkedin.com/company/islide-inc-</x:v>
      </x:c>
      <x:c r="F6" s="7" t="str">
        <x:f>'MASTER_QUEUE'!F135</x:f>
        <x:v>https://islideusa.com/</x:v>
      </x:c>
      <x:c r="G6" t="str">
        <x:f>'MASTER_QUEUE'!G135</x:f>
        <x:v>Boston</x:v>
      </x:c>
      <x:c r="H6" s="8" t="str">
        <x:f>'MASTER_QUEUE'!H135</x:f>
        <x:v>Skrapp</x:v>
      </x:c>
      <x:c r="I6" s="8" t="str">
        <x:f>'MASTER_QUEUE'!I135</x:f>
        <x:v>Not Started</x:v>
      </x:c>
      <x:c r="J6" s="8" t="str">
        <x:f>'MASTER_QUEUE'!J135</x:f>
        <x:v>SMALL_MANUFACTURING</x:v>
      </x:c>
      <x:c r="K6" s="7" t="str">
        <x:f>'MASTER_QUEUE'!K135</x:f>
        <x:v>Owner &gt; Founder &gt; Co-Founder &gt; President &gt; CEO &gt; Plant Manager &gt; Operations Manager &gt; Training Manager &gt; HR Manager</x:v>
      </x:c>
    </x:row>
    <x:row r="7" ht="42" customHeight="1">
      <x:c r="A7" t="str">
        <x:f>'MASTER_QUEUE'!A136</x:f>
        <x:v>Jefferson Rubber Works</x:v>
      </x:c>
      <x:c r="B7" t="str">
        <x:f>'MASTER_QUEUE'!B136</x:f>
        <x:v>Rubber Product Manufacturing</x:v>
      </x:c>
      <x:c r="C7" s="12" t="n">
        <x:f>'MASTER_QUEUE'!C136</x:f>
        <x:v>27</x:v>
      </x:c>
      <x:c r="D7" s="13" t="str">
        <x:f>'MASTER_QUEUE'!D136</x:f>
        <x:v>11-50</x:v>
      </x:c>
      <x:c r="E7" s="7" t="str">
        <x:f>'MASTER_QUEUE'!E136</x:f>
        <x:v>https://www.linkedin.com/company/jefferson-rubber-works-inc-</x:v>
      </x:c>
      <x:c r="F7" s="7" t="str">
        <x:f>'MASTER_QUEUE'!F136</x:f>
        <x:v>https://www.jeffersonrubber.com/</x:v>
      </x:c>
      <x:c r="G7" t="str">
        <x:f>'MASTER_QUEUE'!G136</x:f>
        <x:v>Worcester</x:v>
      </x:c>
      <x:c r="H7" s="8" t="str">
        <x:f>'MASTER_QUEUE'!H136</x:f>
        <x:v>Skrapp</x:v>
      </x:c>
      <x:c r="I7" s="8" t="str">
        <x:f>'MASTER_QUEUE'!I136</x:f>
        <x:v>Not Started</x:v>
      </x:c>
      <x:c r="J7" s="8" t="str">
        <x:f>'MASTER_QUEUE'!J136</x:f>
        <x:v>SMALL_MANUFACTURING</x:v>
      </x:c>
      <x:c r="K7" s="7" t="str">
        <x:f>'MASTER_QUEUE'!K136</x:f>
        <x:v>Owner &gt; Founder &gt; Co-Founder &gt; President &gt; CEO &gt; Plant Manager &gt; Operations Manager &gt; Training Manager &gt; HR Manager</x:v>
      </x:c>
    </x:row>
    <x:row r="8" ht="42" customHeight="1">
      <x:c r="A8" t="str">
        <x:f>'MASTER_QUEUE'!A137</x:f>
        <x:v>Jeffco Fibres</x:v>
      </x:c>
      <x:c r="B8" t="str">
        <x:f>'MASTER_QUEUE'!B137</x:f>
        <x:v>Textile &amp; Fiber Manufacturing</x:v>
      </x:c>
      <x:c r="C8" s="12" t="n">
        <x:f>'MASTER_QUEUE'!C137</x:f>
        <x:v>103</x:v>
      </x:c>
      <x:c r="D8" s="13" t="str">
        <x:f>'MASTER_QUEUE'!D137</x:f>
        <x:v>201-500</x:v>
      </x:c>
      <x:c r="E8" s="7" t="str">
        <x:f>'MASTER_QUEUE'!E137</x:f>
        <x:v>https://www.linkedin.com/company/jeffco-fibres-inc.</x:v>
      </x:c>
      <x:c r="F8" s="7" t="str">
        <x:f>'MASTER_QUEUE'!F137</x:f>
        <x:v>https://www.jeffcofibres.com/</x:v>
      </x:c>
      <x:c r="G8" t="str">
        <x:f>'MASTER_QUEUE'!G137</x:f>
        <x:v>Webster</x:v>
      </x:c>
      <x:c r="H8" s="8" t="str">
        <x:f>'MASTER_QUEUE'!H137</x:f>
        <x:v>Skrapp</x:v>
      </x:c>
      <x:c r="I8" s="8" t="str">
        <x:f>'MASTER_QUEUE'!I137</x:f>
        <x:v>Not Started</x:v>
      </x:c>
      <x:c r="J8" s="8" t="str">
        <x:f>'MASTER_QUEUE'!J137</x:f>
        <x:v>LARGE_MANUFACTURING</x:v>
      </x:c>
      <x:c r="K8" s="7" t="str">
        <x:f>'MASTER_QUEUE'!K137</x:f>
        <x:v>Plant Manager &gt; Operations Director &gt; Training Director &gt; L&amp;D Director &gt; HR Director &gt; Safety Director &gt; VP of Operations</x:v>
      </x:c>
    </x:row>
    <x:row r="9" ht="42" customHeight="1">
      <x:c r="A9" t="str">
        <x:f>'MASTER_QUEUE'!A138</x:f>
        <x:v>JEM Electronics, Inc.</x:v>
      </x:c>
      <x:c r="B9" t="str">
        <x:f>'MASTER_QUEUE'!B138</x:f>
        <x:v>Electronics Manufacturing</x:v>
      </x:c>
      <x:c r="C9" s="12" t="n">
        <x:f>'MASTER_QUEUE'!C138</x:f>
        <x:v>30</x:v>
      </x:c>
      <x:c r="D9" s="13" t="str">
        <x:f>'MASTER_QUEUE'!D138</x:f>
        <x:v>51-200</x:v>
      </x:c>
      <x:c r="E9" s="7" t="str">
        <x:f>'MASTER_QUEUE'!E138</x:f>
        <x:v>https://www.linkedin.com/company/jem-electronics</x:v>
      </x:c>
      <x:c r="F9" s="7" t="str">
        <x:f>'MASTER_QUEUE'!F138</x:f>
        <x:v>https://www.jemelectronics.com/</x:v>
      </x:c>
      <x:c r="G9" t="str">
        <x:f>'MASTER_QUEUE'!G138</x:f>
        <x:v>Worcester</x:v>
      </x:c>
      <x:c r="H9" s="8" t="str">
        <x:f>'MASTER_QUEUE'!H138</x:f>
        <x:v>Skrapp</x:v>
      </x:c>
      <x:c r="I9" s="8" t="str">
        <x:f>'MASTER_QUEUE'!I138</x:f>
        <x:v>Not Started</x:v>
      </x:c>
      <x:c r="J9" s="8" t="str">
        <x:f>'MASTER_QUEUE'!J138</x:f>
        <x:v>MID_MANUFACTURING</x:v>
      </x:c>
      <x:c r="K9" s="7" t="str">
        <x:f>'MASTER_QUEUE'!K138</x:f>
        <x:v>Plant Manager &gt; Operations Director &gt; HR Director &gt; Training Manager &gt; Safety Manager &gt; President &gt; CEO</x:v>
      </x:c>
    </x:row>
    <x:row r="10" ht="42" customHeight="1">
      <x:c r="A10" t="str">
        <x:f>'MASTER_QUEUE'!A139</x:f>
        <x:v>Jordan's Furniture</x:v>
      </x:c>
      <x:c r="B10" t="str">
        <x:f>'MASTER_QUEUE'!B139</x:f>
        <x:v>Furniture Retail</x:v>
      </x:c>
      <x:c r="C10" s="12" t="n">
        <x:f>'MASTER_QUEUE'!C139</x:f>
        <x:v>786</x:v>
      </x:c>
      <x:c r="D10" s="13" t="str">
        <x:f>'MASTER_QUEUE'!D139</x:f>
        <x:v>1,001-5,000</x:v>
      </x:c>
      <x:c r="E10" s="7" t="str">
        <x:f>'MASTER_QUEUE'!E139</x:f>
        <x:v>https://www.linkedin.com/company/jordan%27s-furniture</x:v>
      </x:c>
      <x:c r="F10" s="7" t="str">
        <x:f>'MASTER_QUEUE'!F139</x:f>
        <x:v>https://www.jordans.com/</x:v>
      </x:c>
      <x:c r="G10" t="str">
        <x:f>'MASTER_QUEUE'!G139</x:f>
        <x:v>Taunton</x:v>
      </x:c>
      <x:c r="H10" s="8" t="str">
        <x:f>'MASTER_QUEUE'!H139</x:f>
        <x:v>Skrapp</x:v>
      </x:c>
      <x:c r="I10" s="8" t="str">
        <x:f>'MASTER_QUEUE'!I139</x:f>
        <x:v>Not Started</x:v>
      </x:c>
      <x:c r="J10" s="8" t="str">
        <x:f>'MASTER_QUEUE'!J139</x:f>
        <x:v>ENTERPRISE_HOSPITALITY_RETAIL</x:v>
      </x:c>
      <x:c r="K10" s="7" t="str">
        <x:f>'MASTER_QUEUE'!K139</x:f>
        <x:v>L&amp;D Director &gt; Training Director &gt; Regional Operations Director &gt; HR Director &gt; VP of Operations &gt; VP of HR</x:v>
      </x:c>
    </x:row>
    <x:row r="11" ht="42" customHeight="1">
      <x:c r="A11" t="str">
        <x:f>'MASTER_QUEUE'!A140</x:f>
        <x:v>Kadant</x:v>
      </x:c>
      <x:c r="B11" t="str">
        <x:f>'MASTER_QUEUE'!B140</x:f>
        <x:v>Industrial Machinery Manufacturing</x:v>
      </x:c>
      <x:c r="C11" s="12" t="n">
        <x:f>'MASTER_QUEUE'!C140</x:f>
        <x:v>108</x:v>
      </x:c>
      <x:c r="D11" s="13" t="str">
        <x:f>'MASTER_QUEUE'!D140</x:f>
        <x:v>1,001-5,000</x:v>
      </x:c>
      <x:c r="E11" s="7" t="str">
        <x:f>'MASTER_QUEUE'!E140</x:f>
        <x:v>https://www.linkedin.com/company/kadant-solutions-division</x:v>
      </x:c>
      <x:c r="F11" s="7" t="str">
        <x:f>'MASTER_QUEUE'!F140</x:f>
        <x:v>https://www.kadant.com/</x:v>
      </x:c>
      <x:c r="G11" t="str">
        <x:f>'MASTER_QUEUE'!G140</x:f>
        <x:v>Auburn</x:v>
      </x:c>
      <x:c r="H11" s="8" t="str">
        <x:f>'MASTER_QUEUE'!H140</x:f>
        <x:v>Skrapp</x:v>
      </x:c>
      <x:c r="I11" s="8" t="str">
        <x:f>'MASTER_QUEUE'!I140</x:f>
        <x:v>Not Started</x:v>
      </x:c>
      <x:c r="J11" s="8" t="str">
        <x:f>'MASTER_QUEUE'!J140</x:f>
        <x:v>ENTERPRISE_MANUFACTURING</x:v>
      </x:c>
      <x:c r="K11" s="7" t="str">
        <x:f>'MASTER_QUEUE'!K140</x:f>
        <x:v>Plant Manager &gt; Training Director &gt; L&amp;D Director &gt; Workforce Development Director &gt; Operations Director &gt; HR Director &gt; VP of HR</x:v>
      </x:c>
    </x:row>
    <x:row r="12" ht="42" customHeight="1">
      <x:c r="A12" t="str">
        <x:f>'MASTER_QUEUE'!A141</x:f>
        <x:v>Kaloutas &amp; Co</x:v>
      </x:c>
      <x:c r="B12" t="str">
        <x:f>'MASTER_QUEUE'!B141</x:f>
        <x:v>Commercial Painting &amp; Industrial Coatings</x:v>
      </x:c>
      <x:c r="C12" s="12" t="n">
        <x:f>'MASTER_QUEUE'!C141</x:f>
        <x:v>122</x:v>
      </x:c>
      <x:c r="D12" s="13" t="str">
        <x:f>'MASTER_QUEUE'!D141</x:f>
        <x:v>51-200</x:v>
      </x:c>
      <x:c r="E12" s="7" t="str">
        <x:f>'MASTER_QUEUE'!E141</x:f>
        <x:v>https://www.linkedin.com/company/kaloutas</x:v>
      </x:c>
      <x:c r="F12" s="7" t="str">
        <x:f>'MASTER_QUEUE'!F141</x:f>
        <x:v>https://www.kaloutas.com/</x:v>
      </x:c>
      <x:c r="G12" t="str">
        <x:f>'MASTER_QUEUE'!G141</x:f>
        <x:v>Peabody</x:v>
      </x:c>
      <x:c r="H12" s="8" t="str">
        <x:f>'MASTER_QUEUE'!H141</x:f>
        <x:v>Skrapp</x:v>
      </x:c>
      <x:c r="I12" s="8" t="str">
        <x:f>'MASTER_QUEUE'!I141</x:f>
        <x:v>Not Started</x:v>
      </x:c>
      <x:c r="J12" s="8" t="str">
        <x:f>'MASTER_QUEUE'!J141</x:f>
        <x:v>MID_CONSTRUCTION_TRADES</x:v>
      </x:c>
      <x:c r="K12" s="7" t="str">
        <x:f>'MASTER_QUEUE'!K141</x:f>
        <x:v>Operations Director &gt; Safety Director &gt; Safety Manager &gt; Training Manager &gt; HR Director &gt; HR Manager &gt; President &gt; CEO</x:v>
      </x:c>
    </x:row>
    <x:row r="13" ht="42" customHeight="1">
      <x:c r="A13" t="str">
        <x:f>'MASTER_QUEUE'!A142</x:f>
        <x:v>KARL STORZ Endovision</x:v>
      </x:c>
      <x:c r="B13" t="str">
        <x:f>'MASTER_QUEUE'!B142</x:f>
        <x:v>Medical Device Manufacturing</x:v>
      </x:c>
      <x:c r="C13" s="12" t="n">
        <x:f>'MASTER_QUEUE'!C142</x:f>
        <x:v>2326</x:v>
      </x:c>
      <x:c r="D13" s="13" t="str">
        <x:f>'MASTER_QUEUE'!D142</x:f>
        <x:v>Not visible</x:v>
      </x:c>
      <x:c r="E13" s="7" t="str">
        <x:f>'MASTER_QUEUE'!E142</x:f>
        <x:v>https://www.linkedin.com/company/karl-storz-north-america</x:v>
      </x:c>
      <x:c r="F13" s="7" t="str">
        <x:f>'MASTER_QUEUE'!F142</x:f>
        <x:v>https://www.karlstorz.com/us/en/</x:v>
      </x:c>
      <x:c r="G13" t="str">
        <x:f>'MASTER_QUEUE'!G142</x:f>
        <x:v>Charlton</x:v>
      </x:c>
      <x:c r="H13" s="8" t="str">
        <x:f>'MASTER_QUEUE'!H142</x:f>
        <x:v>Skrapp</x:v>
      </x:c>
      <x:c r="I13" s="8" t="str">
        <x:f>'MASTER_QUEUE'!I142</x:f>
        <x:v>Not Started</x:v>
      </x:c>
      <x:c r="J13" s="8" t="str">
        <x:f>'MASTER_QUEUE'!J142</x:f>
        <x:v>ENTERPRISE_MANUFACTURING</x:v>
      </x:c>
      <x:c r="K13" s="7" t="str">
        <x:f>'MASTER_QUEUE'!K142</x:f>
        <x:v>Plant Manager &gt; Training Director &gt; L&amp;D Director &gt; Workforce Development Director &gt; Operations Director &gt; HR Director &gt; VP of HR</x:v>
      </x:c>
    </x:row>
    <x:row r="14" ht="42" customHeight="1">
      <x:c r="A14" t="str">
        <x:f>'MASTER_QUEUE'!A143</x:f>
        <x:v>Keurig Green Mountain</x:v>
      </x:c>
      <x:c r="B14" t="str">
        <x:f>'MASTER_QUEUE'!B143</x:f>
        <x:v>Beverage Manufacturing</x:v>
      </x:c>
      <x:c r="C14" s="12" t="n">
        <x:f>'MASTER_QUEUE'!C143</x:f>
        <x:v>702</x:v>
      </x:c>
      <x:c r="D14" s="13" t="str">
        <x:f>'MASTER_QUEUE'!D143</x:f>
        <x:v>10,001+</x:v>
      </x:c>
      <x:c r="E14" s="7" t="str">
        <x:f>'MASTER_QUEUE'!E143</x:f>
        <x:v>https://www.linkedin.com/company/keurig-incorporated</x:v>
      </x:c>
      <x:c r="F14" s="7" t="str">
        <x:f>'MASTER_QUEUE'!F143</x:f>
        <x:v>https://www.keurigdrpepper.com/</x:v>
      </x:c>
      <x:c r="G14" t="str">
        <x:f>'MASTER_QUEUE'!G143</x:f>
        <x:v>Burlington</x:v>
      </x:c>
      <x:c r="H14" s="8" t="str">
        <x:f>'MASTER_QUEUE'!H143</x:f>
        <x:v>Skrapp</x:v>
      </x:c>
      <x:c r="I14" s="8" t="str">
        <x:f>'MASTER_QUEUE'!I143</x:f>
        <x:v>Not Started</x:v>
      </x:c>
      <x:c r="J14" s="8" t="str">
        <x:f>'MASTER_QUEUE'!J143</x:f>
        <x:v>ENTERPRISE_MANUFACTURING</x:v>
      </x:c>
      <x:c r="K14" s="7" t="str">
        <x:f>'MASTER_QUEUE'!K143</x:f>
        <x:v>Plant Manager &gt; Training Director &gt; L&amp;D Director &gt; Workforce Development Director &gt; Operations Director &gt; HR Director &gt; VP of HR</x:v>
      </x:c>
    </x:row>
    <x:row r="15" ht="42" customHeight="1">
      <x:c r="A15" t="str">
        <x:f>'MASTER_QUEUE'!A144</x:f>
        <x:v>Kidde-Fenwal</x:v>
      </x:c>
      <x:c r="B15" t="str">
        <x:f>'MASTER_QUEUE'!B144</x:f>
        <x:v>Fire Protection Equipment Manufacturing</x:v>
      </x:c>
      <x:c r="C15" s="12" t="n">
        <x:f>'MASTER_QUEUE'!C144</x:f>
        <x:v>452</x:v>
      </x:c>
      <x:c r="D15" s="13" t="str">
        <x:f>'MASTER_QUEUE'!D144</x:f>
        <x:v>201-500</x:v>
      </x:c>
      <x:c r="E15" s="7" t="str">
        <x:f>'MASTER_QUEUE'!E144</x:f>
        <x:v>https://www.linkedin.com/company/kiddefenwal</x:v>
      </x:c>
      <x:c r="F15" s="7" t="str">
        <x:f>'MASTER_QUEUE'!F144</x:f>
        <x:v>https://www.kiddefenwal.com/</x:v>
      </x:c>
      <x:c r="G15" t="str">
        <x:f>'MASTER_QUEUE'!G144</x:f>
        <x:v>Ashland</x:v>
      </x:c>
      <x:c r="H15" s="8" t="str">
        <x:f>'MASTER_QUEUE'!H144</x:f>
        <x:v>Skrapp</x:v>
      </x:c>
      <x:c r="I15" s="8" t="str">
        <x:f>'MASTER_QUEUE'!I144</x:f>
        <x:v>Not Started</x:v>
      </x:c>
      <x:c r="J15" s="8" t="str">
        <x:f>'MASTER_QUEUE'!J144</x:f>
        <x:v>LARGE_MANUFACTURING</x:v>
      </x:c>
      <x:c r="K15" s="7" t="str">
        <x:f>'MASTER_QUEUE'!K144</x:f>
        <x:v>Plant Manager &gt; Operations Director &gt; Training Director &gt; L&amp;D Director &gt; HR Director &gt; Safety Director &gt; VP of Operations</x:v>
      </x:c>
    </x:row>
    <x:row r="16" ht="42" customHeight="1">
      <x:c r="A16" t="str">
        <x:f>'MASTER_QUEUE'!A145</x:f>
        <x:v>Kirkwood Printing Company</x:v>
      </x:c>
      <x:c r="B16" t="str">
        <x:f>'MASTER_QUEUE'!B145</x:f>
        <x:v>Printing Services</x:v>
      </x:c>
      <x:c r="C16" s="12" t="n">
        <x:f>'MASTER_QUEUE'!C145</x:f>
        <x:v>220</x:v>
      </x:c>
      <x:c r="D16" s="13" t="str">
        <x:f>'MASTER_QUEUE'!D145</x:f>
        <x:v>201-500</x:v>
      </x:c>
      <x:c r="E16" s="7" t="str">
        <x:f>'MASTER_QUEUE'!E145</x:f>
        <x:v>https://www.linkedin.com/company/kirkwood-printing</x:v>
      </x:c>
      <x:c r="F16" s="7" t="str">
        <x:f>'MASTER_QUEUE'!F145</x:f>
        <x:v>https://www.kirkwoodprinting.com/</x:v>
      </x:c>
      <x:c r="G16" t="str">
        <x:f>'MASTER_QUEUE'!G145</x:f>
        <x:v>Wilmington</x:v>
      </x:c>
      <x:c r="H16" s="8" t="str">
        <x:f>'MASTER_QUEUE'!H145</x:f>
        <x:v>Skrapp</x:v>
      </x:c>
      <x:c r="I16" s="8" t="str">
        <x:f>'MASTER_QUEUE'!I145</x:f>
        <x:v>Not Started</x:v>
      </x:c>
      <x:c r="J16" s="8" t="str">
        <x:f>'MASTER_QUEUE'!J145</x:f>
        <x:v>LARGE_MANUFACTURING</x:v>
      </x:c>
      <x:c r="K16" s="7" t="str">
        <x:f>'MASTER_QUEUE'!K145</x:f>
        <x:v>Plant Manager &gt; Operations Director &gt; Training Director &gt; L&amp;D Director &gt; HR Director &gt; Safety Director &gt; VP of Operations</x:v>
      </x:c>
    </x:row>
    <x:row r="17" ht="42" customHeight="1">
      <x:c r="A17" t="str">
        <x:f>'MASTER_QUEUE'!A146</x:f>
        <x:v>Landry's Bicycles</x:v>
      </x:c>
      <x:c r="B17" t="str">
        <x:f>'MASTER_QUEUE'!B146</x:f>
        <x:v>Bicycle Retail</x:v>
      </x:c>
      <x:c r="C17" s="12" t="n">
        <x:f>'MASTER_QUEUE'!C146</x:f>
        <x:v>85</x:v>
      </x:c>
      <x:c r="D17" s="13" t="str">
        <x:f>'MASTER_QUEUE'!D146</x:f>
        <x:v>201-500</x:v>
      </x:c>
      <x:c r="E17" s="7" t="str">
        <x:f>'MASTER_QUEUE'!E146</x:f>
        <x:v>https://www.linkedin.com/company/landrysbicycles</x:v>
      </x:c>
      <x:c r="F17" s="7" t="str">
        <x:f>'MASTER_QUEUE'!F146</x:f>
        <x:v>https://www.landrys.com/</x:v>
      </x:c>
      <x:c r="G17" t="str">
        <x:f>'MASTER_QUEUE'!G146</x:f>
        <x:v>Natick</x:v>
      </x:c>
      <x:c r="H17" s="8" t="str">
        <x:f>'MASTER_QUEUE'!H146</x:f>
        <x:v>Skrapp</x:v>
      </x:c>
      <x:c r="I17" s="8" t="str">
        <x:f>'MASTER_QUEUE'!I146</x:f>
        <x:v>Not Started</x:v>
      </x:c>
      <x:c r="J17" s="8" t="str">
        <x:f>'MASTER_QUEUE'!J146</x:f>
        <x:v>LARGE_HOSPITALITY_RETAIL</x:v>
      </x:c>
      <x:c r="K17" s="7" t="str">
        <x:f>'MASTER_QUEUE'!K146</x:f>
        <x:v>Training Director &gt; Operations Director &gt; Regional Operations Director &gt; HR Director &gt; General Manager &gt; VP of Operations</x:v>
      </x:c>
    </x:row>
    <x:row r="18" ht="42" customHeight="1">
      <x:c r="A18" t="str">
        <x:f>'MASTER_QUEUE'!A147</x:f>
        <x:v>Larson Tool &amp; Stamping Company</x:v>
      </x:c>
      <x:c r="B18" t="str">
        <x:f>'MASTER_QUEUE'!B147</x:f>
        <x:v>Metal Stamping &amp; Tooling</x:v>
      </x:c>
      <x:c r="C18" s="12" t="n">
        <x:f>'MASTER_QUEUE'!C147</x:f>
        <x:v>28</x:v>
      </x:c>
      <x:c r="D18" s="13" t="str">
        <x:f>'MASTER_QUEUE'!D147</x:f>
        <x:v>51-200</x:v>
      </x:c>
      <x:c r="E18" s="7" t="str">
        <x:f>'MASTER_QUEUE'!E147</x:f>
        <x:v>https://www.linkedin.com/company/larson-tool-%26-stamping-company</x:v>
      </x:c>
      <x:c r="F18" s="7" t="str">
        <x:f>'MASTER_QUEUE'!F147</x:f>
        <x:v>https://www.larsontool.com/</x:v>
      </x:c>
      <x:c r="G18" t="str">
        <x:f>'MASTER_QUEUE'!G147</x:f>
        <x:v>Attleboro</x:v>
      </x:c>
      <x:c r="H18" s="8" t="str">
        <x:f>'MASTER_QUEUE'!H147</x:f>
        <x:v>Skrapp</x:v>
      </x:c>
      <x:c r="I18" s="8" t="str">
        <x:f>'MASTER_QUEUE'!I147</x:f>
        <x:v>Not Started</x:v>
      </x:c>
      <x:c r="J18" s="8" t="str">
        <x:f>'MASTER_QUEUE'!J147</x:f>
        <x:v>MID_MANUFACTURING</x:v>
      </x:c>
      <x:c r="K18" s="7" t="str">
        <x:f>'MASTER_QUEUE'!K147</x:f>
        <x:v>Plant Manager &gt; Operations Director &gt; HR Director &gt; Training Manager &gt; Safety Manager &gt; President &gt; CEO</x:v>
      </x:c>
    </x:row>
    <x:row r="19" ht="42" customHeight="1">
      <x:c r="A19" t="str">
        <x:f>'MASTER_QUEUE'!A148</x:f>
        <x:v>Lenco Armored Vehicles</x:v>
      </x:c>
      <x:c r="B19" t="str">
        <x:f>'MASTER_QUEUE'!B148</x:f>
        <x:v>Defense Vehicle Manufacturing</x:v>
      </x:c>
      <x:c r="C19" s="12" t="n">
        <x:f>'MASTER_QUEUE'!C148</x:f>
        <x:v>66</x:v>
      </x:c>
      <x:c r="D19" s="13" t="str">
        <x:f>'MASTER_QUEUE'!D148</x:f>
        <x:v>51-200</x:v>
      </x:c>
      <x:c r="E19" s="7" t="str">
        <x:f>'MASTER_QUEUE'!E148</x:f>
        <x:v>https://www.linkedin.com/company/lenco-armored-vehicles</x:v>
      </x:c>
      <x:c r="F19" s="7" t="str">
        <x:f>'MASTER_QUEUE'!F148</x:f>
        <x:v>https://www.lencoarmor.com/</x:v>
      </x:c>
      <x:c r="G19" t="str">
        <x:f>'MASTER_QUEUE'!G148</x:f>
        <x:v>Pittsfield</x:v>
      </x:c>
      <x:c r="H19" s="8" t="str">
        <x:f>'MASTER_QUEUE'!H148</x:f>
        <x:v>Skrapp</x:v>
      </x:c>
      <x:c r="I19" s="8" t="str">
        <x:f>'MASTER_QUEUE'!I148</x:f>
        <x:v>Not Started</x:v>
      </x:c>
      <x:c r="J19" s="8" t="str">
        <x:f>'MASTER_QUEUE'!J148</x:f>
        <x:v>MID_MANUFACTURING</x:v>
      </x:c>
      <x:c r="K19" s="7" t="str">
        <x:f>'MASTER_QUEUE'!K148</x:f>
        <x:v>Plant Manager &gt; Operations Director &gt; HR Director &gt; Training Manager &gt; Safety Manager &gt; President &gt; CEO</x:v>
      </x:c>
    </x:row>
    <x:row r="20" ht="42" customHeight="1">
      <x:c r="A20" t="str">
        <x:f>'MASTER_QUEUE'!A149</x:f>
        <x:v>LEONI Wire Inc</x:v>
      </x:c>
      <x:c r="B20" t="str">
        <x:f>'MASTER_QUEUE'!B149</x:f>
        <x:v>Wire &amp; Cable Manufacturing</x:v>
      </x:c>
      <x:c r="C20" s="12" t="n">
        <x:f>'MASTER_QUEUE'!C149</x:f>
        <x:v>20920</x:v>
      </x:c>
      <x:c r="D20" s="13" t="str">
        <x:f>'MASTER_QUEUE'!D149</x:f>
        <x:v>10,001+</x:v>
      </x:c>
      <x:c r="E20" s="7" t="str">
        <x:f>'MASTER_QUEUE'!E149</x:f>
        <x:v>https://www.linkedin.com/company/leoni</x:v>
      </x:c>
      <x:c r="F20" s="7" t="str">
        <x:f>'MASTER_QUEUE'!F149</x:f>
        <x:v>https://www.leoni.com/</x:v>
      </x:c>
      <x:c r="G20" t="str">
        <x:f>'MASTER_QUEUE'!G149</x:f>
        <x:v>Chicopee</x:v>
      </x:c>
      <x:c r="H20" s="8" t="str">
        <x:f>'MASTER_QUEUE'!H149</x:f>
        <x:v>Skrapp</x:v>
      </x:c>
      <x:c r="I20" s="8" t="str">
        <x:f>'MASTER_QUEUE'!I149</x:f>
        <x:v>Not Started</x:v>
      </x:c>
      <x:c r="J20" s="8" t="str">
        <x:f>'MASTER_QUEUE'!J149</x:f>
        <x:v>ENTERPRISE_MANUFACTURING</x:v>
      </x:c>
      <x:c r="K20" s="7" t="str">
        <x:f>'MASTER_QUEUE'!K149</x:f>
        <x:v>Plant Manager &gt; Training Director &gt; L&amp;D Director &gt; Workforce Development Director &gt; Operations Director &gt; HR Director &gt; VP of HR</x:v>
      </x:c>
    </x:row>
    <x:row r="21" ht="42" customHeight="1">
      <x:c r="A21" t="str">
        <x:f>'MASTER_QUEUE'!A150</x:f>
        <x:v>Little Leaf Farms</x:v>
      </x:c>
      <x:c r="B21" t="str">
        <x:f>'MASTER_QUEUE'!B150</x:f>
        <x:v>Agriculture &amp; Food Production</x:v>
      </x:c>
      <x:c r="C21" s="12" t="n">
        <x:f>'MASTER_QUEUE'!C150</x:f>
        <x:v>171</x:v>
      </x:c>
      <x:c r="D21" s="13" t="str">
        <x:f>'MASTER_QUEUE'!D150</x:f>
        <x:v>51-200</x:v>
      </x:c>
      <x:c r="E21" s="7" t="str">
        <x:f>'MASTER_QUEUE'!E150</x:f>
        <x:v>https://www.linkedin.com/company/littleleaffarms</x:v>
      </x:c>
      <x:c r="F21" s="7" t="str">
        <x:f>'MASTER_QUEUE'!F150</x:f>
        <x:v>https://www.littleleaffarms.com/</x:v>
      </x:c>
      <x:c r="G21" t="str">
        <x:f>'MASTER_QUEUE'!G150</x:f>
        <x:v>Devens</x:v>
      </x:c>
      <x:c r="H21" s="8" t="str">
        <x:f>'MASTER_QUEUE'!H150</x:f>
        <x:v>Skrapp</x:v>
      </x:c>
      <x:c r="I21" s="8" t="str">
        <x:f>'MASTER_QUEUE'!I150</x:f>
        <x:v>Not Started</x:v>
      </x:c>
      <x:c r="J21" s="8" t="str">
        <x:f>'MASTER_QUEUE'!J150</x:f>
        <x:v>MID_MANUFACTURING</x:v>
      </x:c>
      <x:c r="K21" s="7" t="str">
        <x:f>'MASTER_QUEUE'!K150</x:f>
        <x:v>Plant Manager &gt; Operations Director &gt; HR Director &gt; Training Manager &gt; Safety Manager &gt; President &gt; CEO</x:v>
      </x:c>
    </x:row>
    <x:row r="22" ht="42" customHeight="1">
      <x:c r="A22" t="str">
        <x:f>'MASTER_QUEUE'!A151</x:f>
        <x:v>Llumin</x:v>
      </x:c>
      <x:c r="B22" t="str">
        <x:f>'MASTER_QUEUE'!B151</x:f>
        <x:v>Software Development</x:v>
      </x:c>
      <x:c r="C22" s="12" t="n">
        <x:f>'MASTER_QUEUE'!C151</x:f>
        <x:v>27</x:v>
      </x:c>
      <x:c r="D22" s="13" t="str">
        <x:f>'MASTER_QUEUE'!D151</x:f>
        <x:v>11-50</x:v>
      </x:c>
      <x:c r="E22" s="7" t="str">
        <x:f>'MASTER_QUEUE'!E151</x:f>
        <x:v>https://www.linkedin.com/company/llumin-software</x:v>
      </x:c>
      <x:c r="F22" s="7" t="str">
        <x:f>'MASTER_QUEUE'!F151</x:f>
        <x:v>https://llumin.com/</x:v>
      </x:c>
      <x:c r="G22" t="str">
        <x:f>'MASTER_QUEUE'!G151</x:f>
        <x:v>Springfield</x:v>
      </x:c>
      <x:c r="H22" s="8" t="str">
        <x:f>'MASTER_QUEUE'!H151</x:f>
        <x:v>Skrapp</x:v>
      </x:c>
      <x:c r="I22" s="8" t="str">
        <x:f>'MASTER_QUEUE'!I151</x:f>
        <x:v>Not Started</x:v>
      </x:c>
      <x:c r="J22" s="8" t="str">
        <x:f>'MASTER_QUEUE'!J151</x:f>
        <x:v>SMALL_TECH_PROFESSIONAL</x:v>
      </x:c>
      <x:c r="K22" s="7" t="str">
        <x:f>'MASTER_QUEUE'!K151</x:f>
        <x:v>Owner &gt; Founder &gt; Co-Founder &gt; President &gt; CEO &gt; Managing Partner &gt; COO &gt; People Operations Manager &gt; HR Manager</x:v>
      </x:c>
    </x:row>
    <x:row r="23" ht="42" customHeight="1">
      <x:c r="A23" t="str">
        <x:f>'MASTER_QUEUE'!A152</x:f>
        <x:v>LSF Quality Control Center</x:v>
      </x:c>
      <x:c r="B23" t="str">
        <x:f>'MASTER_QUEUE'!B152</x:f>
        <x:v>Food &amp; Beverage Operations</x:v>
      </x:c>
      <x:c r="C23" s="12" t="str">
        <x:f>'MASTER_QUEUE'!C152</x:f>
        <x:v>Not visible</x:v>
      </x:c>
      <x:c r="D23" s="13" t="str">
        <x:f>'MASTER_QUEUE'!D152</x:f>
        <x:v>Not visible</x:v>
      </x:c>
      <x:c r="E23" s="7" t="str">
        <x:f>'MASTER_QUEUE'!E152</x:f>
        <x:v>Not verified</x:v>
      </x:c>
      <x:c r="F23" s="7" t="str">
        <x:f>'MASTER_QUEUE'!F152</x:f>
        <x:v>https://www.legalseafoods.com/</x:v>
      </x:c>
      <x:c r="G23" t="str">
        <x:f>'MASTER_QUEUE'!G152</x:f>
        <x:v>Boston</x:v>
      </x:c>
      <x:c r="H23" s="8" t="str">
        <x:f>'MASTER_QUEUE'!H152</x:f>
        <x:v>Skrapp</x:v>
      </x:c>
      <x:c r="I23" s="8" t="str">
        <x:f>'MASTER_QUEUE'!I152</x:f>
        <x:v>Not Started</x:v>
      </x:c>
      <x:c r="J23" s="8" t="str">
        <x:f>'MASTER_QUEUE'!J152</x:f>
        <x:v>UNKNOWN_LOGISTICS_OPERATIONS</x:v>
      </x:c>
      <x:c r="K23" s="7" t="str">
        <x:f>'MASTER_QUEUE'!K152</x:f>
        <x:v>Owner &gt; President &gt; CEO &gt; General Manager &gt; Operations Director &gt; Training Manager &gt; Safety Manager &gt; HR Director</x:v>
      </x:c>
    </x:row>
    <x:row r="24" ht="42" customHeight="1">
      <x:c r="A24" t="str">
        <x:f>'MASTER_QUEUE'!A153</x:f>
        <x:v>Lyndra Therapeutics</x:v>
      </x:c>
      <x:c r="B24" t="str">
        <x:f>'MASTER_QUEUE'!B153</x:f>
        <x:v>Biotechnology</x:v>
      </x:c>
      <x:c r="C24" s="12" t="str">
        <x:f>'MASTER_QUEUE'!C153</x:f>
        <x:v>Not visible</x:v>
      </x:c>
      <x:c r="D24" s="13" t="str">
        <x:f>'MASTER_QUEUE'!D153</x:f>
        <x:v>Not visible</x:v>
      </x:c>
      <x:c r="E24" s="7" t="str">
        <x:f>'MASTER_QUEUE'!E153</x:f>
        <x:v>Not verified</x:v>
      </x:c>
      <x:c r="F24" s="7" t="str">
        <x:f>'MASTER_QUEUE'!F153</x:f>
        <x:v>https://www.nortivabio.com/</x:v>
      </x:c>
      <x:c r="G24" t="str">
        <x:f>'MASTER_QUEUE'!G153</x:f>
        <x:v>Watertown</x:v>
      </x:c>
      <x:c r="H24" s="8" t="str">
        <x:f>'MASTER_QUEUE'!H153</x:f>
        <x:v>Skrapp</x:v>
      </x:c>
      <x:c r="I24" s="8" t="str">
        <x:f>'MASTER_QUEUE'!I153</x:f>
        <x:v>Not Started</x:v>
      </x:c>
      <x:c r="J24" s="8" t="str">
        <x:f>'MASTER_QUEUE'!J153</x:f>
        <x:v>UNKNOWN_TECH_PROFESSIONAL</x:v>
      </x:c>
      <x:c r="K24" s="7" t="str">
        <x:f>'MASTER_QUEUE'!K153</x:f>
        <x:v>Owner &gt; Founder &gt; Co-Founder &gt; President &gt; CEO &gt; People Operations Director &gt; L&amp;D Director &gt; HR Director</x:v>
      </x:c>
    </x:row>
    <x:row r="25" ht="42" customHeight="1">
      <x:c r="A25" t="str">
        <x:f>'MASTER_QUEUE'!A154</x:f>
        <x:v>Main Street Bank</x:v>
      </x:c>
      <x:c r="B25" t="str">
        <x:f>'MASTER_QUEUE'!B154</x:f>
        <x:v>Banking</x:v>
      </x:c>
      <x:c r="C25" s="12" t="n">
        <x:f>'MASTER_QUEUE'!C154</x:f>
        <x:v>161</x:v>
      </x:c>
      <x:c r="D25" s="13" t="str">
        <x:f>'MASTER_QUEUE'!D154</x:f>
        <x:v>51-200</x:v>
      </x:c>
      <x:c r="E25" s="7" t="str">
        <x:f>'MASTER_QUEUE'!E154</x:f>
        <x:v>https://www.linkedin.com/company/bankmainstreet</x:v>
      </x:c>
      <x:c r="F25" s="7" t="str">
        <x:f>'MASTER_QUEUE'!F154</x:f>
        <x:v>https://www.bankmainstreet.com/</x:v>
      </x:c>
      <x:c r="G25" t="str">
        <x:f>'MASTER_QUEUE'!G154</x:f>
        <x:v>Marlborough</x:v>
      </x:c>
      <x:c r="H25" s="8" t="str">
        <x:f>'MASTER_QUEUE'!H154</x:f>
        <x:v>Skrapp</x:v>
      </x:c>
      <x:c r="I25" s="8" t="str">
        <x:f>'MASTER_QUEUE'!I154</x:f>
        <x:v>Not Started</x:v>
      </x:c>
      <x:c r="J25" s="8" t="str">
        <x:f>'MASTER_QUEUE'!J154</x:f>
        <x:v>MID_FINANCIAL_SERVICES</x:v>
      </x:c>
      <x:c r="K25" s="7" t="str">
        <x:f>'MASTER_QUEUE'!K154</x:f>
        <x:v>HR Director &gt; L&amp;D Manager &gt; Training Manager &gt; COO &gt; Operations Director &gt; President &gt; CEO</x:v>
      </x:c>
    </x:row>
    <x:row r="26" ht="42" customHeight="1">
      <x:c r="A26" t="str">
        <x:f>'MASTER_QUEUE'!A155</x:f>
        <x:v>Manny's Appliances, Inc</x:v>
      </x:c>
      <x:c r="B26" t="str">
        <x:f>'MASTER_QUEUE'!B155</x:f>
        <x:v>Appliance Retail</x:v>
      </x:c>
      <x:c r="C26" s="12" t="n">
        <x:f>'MASTER_QUEUE'!C155</x:f>
        <x:v>39</x:v>
      </x:c>
      <x:c r="D26" s="13" t="str">
        <x:f>'MASTER_QUEUE'!D155</x:f>
        <x:v>51-200</x:v>
      </x:c>
      <x:c r="E26" s="7" t="str">
        <x:f>'MASTER_QUEUE'!E155</x:f>
        <x:v>https://www.linkedin.com/company/mannysappliances</x:v>
      </x:c>
      <x:c r="F26" s="7" t="str">
        <x:f>'MASTER_QUEUE'!F155</x:f>
        <x:v>https://www.mannysappliances.com/</x:v>
      </x:c>
      <x:c r="G26" t="str">
        <x:f>'MASTER_QUEUE'!G155</x:f>
        <x:v>Greenfield</x:v>
      </x:c>
      <x:c r="H26" s="8" t="str">
        <x:f>'MASTER_QUEUE'!H155</x:f>
        <x:v>Skrapp</x:v>
      </x:c>
      <x:c r="I26" s="8" t="str">
        <x:f>'MASTER_QUEUE'!I155</x:f>
        <x:v>Not Started</x:v>
      </x:c>
      <x:c r="J26" s="8" t="str">
        <x:f>'MASTER_QUEUE'!J155</x:f>
        <x:v>MID_HOSPITALITY_RETAIL</x:v>
      </x:c>
      <x:c r="K26" s="7" t="str">
        <x:f>'MASTER_QUEUE'!K155</x:f>
        <x:v>General Manager &gt; Operations Director &gt; Training Director &gt; Training Manager &gt; HR Director &gt; Regional Manager &gt; President &gt; CEO</x:v>
      </x:c>
    </x:row>
    <x:row r="27" ht="42" customHeight="1">
      <x:c r="A27" t="str">
        <x:f>'MASTER_QUEUE'!A156</x:f>
        <x:v>MASS MoCA</x:v>
      </x:c>
      <x:c r="B27" t="str">
        <x:f>'MASTER_QUEUE'!B156</x:f>
        <x:v>Museums &amp; Cultural Institutions</x:v>
      </x:c>
      <x:c r="C27" s="12" t="n">
        <x:f>'MASTER_QUEUE'!C156</x:f>
        <x:v>135</x:v>
      </x:c>
      <x:c r="D27" s="13" t="str">
        <x:f>'MASTER_QUEUE'!D156</x:f>
        <x:v>51-200</x:v>
      </x:c>
      <x:c r="E27" s="7" t="str">
        <x:f>'MASTER_QUEUE'!E156</x:f>
        <x:v>https://www.linkedin.com/company/mass-moca</x:v>
      </x:c>
      <x:c r="F27" s="7" t="str">
        <x:f>'MASTER_QUEUE'!F156</x:f>
        <x:v>https://massmoca.org/</x:v>
      </x:c>
      <x:c r="G27" t="str">
        <x:f>'MASTER_QUEUE'!G156</x:f>
        <x:v>North Adams</x:v>
      </x:c>
      <x:c r="H27" s="8" t="str">
        <x:f>'MASTER_QUEUE'!H156</x:f>
        <x:v>Skrapp</x:v>
      </x:c>
      <x:c r="I27" s="8" t="str">
        <x:f>'MASTER_QUEUE'!I156</x:f>
        <x:v>Not Started</x:v>
      </x:c>
      <x:c r="J27" s="8" t="str">
        <x:f>'MASTER_QUEUE'!J156</x:f>
        <x:v>MID_NONPROFIT_SOCIAL</x:v>
      </x:c>
      <x:c r="K27" s="7" t="str">
        <x:f>'MASTER_QUEUE'!K156</x:f>
        <x:v>Executive Director &gt; Workforce Development Director &gt; Training Director &gt; L&amp;D Director &gt; Operations Director &gt; HR Director</x:v>
      </x:c>
    </x:row>
    <x:row r="28" ht="42" customHeight="1">
      <x:c r="A28" t="str">
        <x:f>'MASTER_QUEUE'!A157</x:f>
        <x:v>Materion Precision Optics &amp; Thin Film</x:v>
      </x:c>
      <x:c r="B28" t="str">
        <x:f>'MASTER_QUEUE'!B157</x:f>
        <x:v>Optical Components Manufacturing</x:v>
      </x:c>
      <x:c r="C28" s="12" t="n">
        <x:f>'MASTER_QUEUE'!C157</x:f>
        <x:v>153</x:v>
      </x:c>
      <x:c r="D28" s="13" t="str">
        <x:f>'MASTER_QUEUE'!D157</x:f>
        <x:v>501-1,000</x:v>
      </x:c>
      <x:c r="E28" s="7" t="str">
        <x:f>'MASTER_QUEUE'!E157</x:f>
        <x:v>https://www.linkedin.com/company/materionbalzersoptics</x:v>
      </x:c>
      <x:c r="F28" s="7" t="str">
        <x:f>'MASTER_QUEUE'!F157</x:f>
        <x:v>https://www.materion.com/</x:v>
      </x:c>
      <x:c r="G28" t="str">
        <x:f>'MASTER_QUEUE'!G157</x:f>
        <x:v>Westford</x:v>
      </x:c>
      <x:c r="H28" s="8" t="str">
        <x:f>'MASTER_QUEUE'!H157</x:f>
        <x:v>Skrapp</x:v>
      </x:c>
      <x:c r="I28" s="8" t="str">
        <x:f>'MASTER_QUEUE'!I157</x:f>
        <x:v>Not Started</x:v>
      </x:c>
      <x:c r="J28" s="8" t="str">
        <x:f>'MASTER_QUEUE'!J157</x:f>
        <x:v>LARGE_MANUFACTURING</x:v>
      </x:c>
      <x:c r="K28" s="7" t="str">
        <x:f>'MASTER_QUEUE'!K157</x:f>
        <x:v>Plant Manager &gt; Operations Director &gt; Training Director &gt; L&amp;D Director &gt; HR Director &gt; Safety Director &gt; VP of Operations</x:v>
      </x:c>
    </x:row>
    <x:row r="29" ht="42" customHeight="1">
      <x:c r="A29" t="str">
        <x:f>'MASTER_QUEUE'!A158</x:f>
        <x:v>Matouk Textile Works</x:v>
      </x:c>
      <x:c r="B29" t="str">
        <x:f>'MASTER_QUEUE'!B158</x:f>
        <x:v>Textiles Manufacturing</x:v>
      </x:c>
      <x:c r="C29" s="12" t="n">
        <x:f>'MASTER_QUEUE'!C158</x:f>
        <x:v>118</x:v>
      </x:c>
      <x:c r="D29" s="13" t="str">
        <x:f>'MASTER_QUEUE'!D158</x:f>
        <x:v>201-500</x:v>
      </x:c>
      <x:c r="E29" s="7" t="str">
        <x:f>'MASTER_QUEUE'!E158</x:f>
        <x:v>https://www.linkedin.com/company/matouk-%26-co-</x:v>
      </x:c>
      <x:c r="F29" s="7" t="str">
        <x:f>'MASTER_QUEUE'!F158</x:f>
        <x:v>https://www.matouk.com/</x:v>
      </x:c>
      <x:c r="G29" t="str">
        <x:f>'MASTER_QUEUE'!G158</x:f>
        <x:v>Fall River</x:v>
      </x:c>
      <x:c r="H29" s="8" t="str">
        <x:f>'MASTER_QUEUE'!H158</x:f>
        <x:v>Skrapp</x:v>
      </x:c>
      <x:c r="I29" s="8" t="str">
        <x:f>'MASTER_QUEUE'!I158</x:f>
        <x:v>Not Started</x:v>
      </x:c>
      <x:c r="J29" s="8" t="str">
        <x:f>'MASTER_QUEUE'!J158</x:f>
        <x:v>LARGE_MANUFACTURING</x:v>
      </x:c>
      <x:c r="K29" s="7" t="str">
        <x:f>'MASTER_QUEUE'!K158</x:f>
        <x:v>Plant Manager &gt; Operations Director &gt; Training Director &gt; L&amp;D Director &gt; HR Director &gt; Safety Director &gt; VP of Operations</x:v>
      </x:c>
    </x:row>
    <x:row r="30" ht="42" customHeight="1">
      <x:c r="A30" t="str">
        <x:f>'MASTER_QUEUE'!A159</x:f>
        <x:v>Maugel Architects, Inc.</x:v>
      </x:c>
      <x:c r="B30" t="str">
        <x:f>'MASTER_QUEUE'!B159</x:f>
        <x:v>Architecture &amp; Planning</x:v>
      </x:c>
      <x:c r="C30" s="12" t="n">
        <x:f>'MASTER_QUEUE'!C159</x:f>
        <x:v>33</x:v>
      </x:c>
      <x:c r="D30" s="13" t="str">
        <x:f>'MASTER_QUEUE'!D159</x:f>
        <x:v>11-50</x:v>
      </x:c>
      <x:c r="E30" s="7" t="str">
        <x:f>'MASTER_QUEUE'!E159</x:f>
        <x:v>https://www.linkedin.com/company/maugel-destefano-architects</x:v>
      </x:c>
      <x:c r="F30" s="7" t="str">
        <x:f>'MASTER_QUEUE'!F159</x:f>
        <x:v>https://www.maugel.com/</x:v>
      </x:c>
      <x:c r="G30" t="str">
        <x:f>'MASTER_QUEUE'!G159</x:f>
        <x:v>Harvard</x:v>
      </x:c>
      <x:c r="H30" s="8" t="str">
        <x:f>'MASTER_QUEUE'!H159</x:f>
        <x:v>Skrapp</x:v>
      </x:c>
      <x:c r="I30" s="8" t="str">
        <x:f>'MASTER_QUEUE'!I159</x:f>
        <x:v>Not Started</x:v>
      </x:c>
      <x:c r="J30" s="8" t="str">
        <x:f>'MASTER_QUEUE'!J159</x:f>
        <x:v>SMALL_TECH_PROFESSIONAL</x:v>
      </x:c>
      <x:c r="K30" s="7" t="str">
        <x:f>'MASTER_QUEUE'!K159</x:f>
        <x:v>Owner &gt; Founder &gt; Co-Founder &gt; President &gt; CEO &gt; Managing Partner &gt; COO &gt; People Operations Manager &gt; HR Manager</x:v>
      </x:c>
    </x:row>
    <x:row r="31" ht="42" customHeight="1">
      <x:c r="A31" t="str">
        <x:f>'MASTER_QUEUE'!A160</x:f>
        <x:v>Medford Wellington</x:v>
      </x:c>
      <x:c r="B31" t="str">
        <x:f>'MASTER_QUEUE'!B160</x:f>
        <x:v>HVAC &amp; Plumbing Services</x:v>
      </x:c>
      <x:c r="C31" s="12" t="n">
        <x:f>'MASTER_QUEUE'!C160</x:f>
        <x:v>97</x:v>
      </x:c>
      <x:c r="D31" s="13" t="str">
        <x:f>'MASTER_QUEUE'!D160</x:f>
        <x:v>51-200</x:v>
      </x:c>
      <x:c r="E31" s="7" t="str">
        <x:f>'MASTER_QUEUE'!E160</x:f>
        <x:v>https://www.linkedin.com/company/medford-wellington-svc-co</x:v>
      </x:c>
      <x:c r="F31" s="7" t="str">
        <x:f>'MASTER_QUEUE'!F160</x:f>
        <x:v>https://medfordwellington.com/</x:v>
      </x:c>
      <x:c r="G31" t="str">
        <x:f>'MASTER_QUEUE'!G160</x:f>
        <x:v>Medford</x:v>
      </x:c>
      <x:c r="H31" s="8" t="str">
        <x:f>'MASTER_QUEUE'!H160</x:f>
        <x:v>Skrapp</x:v>
      </x:c>
      <x:c r="I31" s="8" t="str">
        <x:f>'MASTER_QUEUE'!I160</x:f>
        <x:v>Not Started</x:v>
      </x:c>
      <x:c r="J31" s="8" t="str">
        <x:f>'MASTER_QUEUE'!J160</x:f>
        <x:v>MID_CONSTRUCTION_TRADES</x:v>
      </x:c>
      <x:c r="K31" s="7" t="str">
        <x:f>'MASTER_QUEUE'!K160</x:f>
        <x:v>Operations Director &gt; Safety Director &gt; Safety Manager &gt; Training Manager &gt; HR Director &gt; HR Manager &gt; President &gt; CEO</x:v>
      </x:c>
    </x:row>
    <x:row r="32" ht="42" customHeight="1">
      <x:c r="A32" t="str">
        <x:f>'MASTER_QUEUE'!A161</x:f>
        <x:v>Meninno Brothers Gourmet Foods</x:v>
      </x:c>
      <x:c r="B32" t="str">
        <x:f>'MASTER_QUEUE'!B161</x:f>
        <x:v>Food Manufacturing</x:v>
      </x:c>
      <x:c r="C32" s="12" t="n">
        <x:f>'MASTER_QUEUE'!C161</x:f>
        <x:v>13</x:v>
      </x:c>
      <x:c r="D32" s="13" t="str">
        <x:f>'MASTER_QUEUE'!D161</x:f>
        <x:v>51-200</x:v>
      </x:c>
      <x:c r="E32" s="7" t="str">
        <x:f>'MASTER_QUEUE'!E161</x:f>
        <x:v>https://www.linkedin.com/company/meninno-brothers-gourmet-foods</x:v>
      </x:c>
      <x:c r="F32" s="7" t="str">
        <x:f>'MASTER_QUEUE'!F161</x:f>
        <x:v>https://www.meninnobrothers.com/</x:v>
      </x:c>
      <x:c r="G32" t="str">
        <x:f>'MASTER_QUEUE'!G161</x:f>
        <x:v>Danvers</x:v>
      </x:c>
      <x:c r="H32" s="8" t="str">
        <x:f>'MASTER_QUEUE'!H161</x:f>
        <x:v>Skrapp</x:v>
      </x:c>
      <x:c r="I32" s="8" t="str">
        <x:f>'MASTER_QUEUE'!I161</x:f>
        <x:v>Not Started</x:v>
      </x:c>
      <x:c r="J32" s="8" t="str">
        <x:f>'MASTER_QUEUE'!J161</x:f>
        <x:v>MID_MANUFACTURING</x:v>
      </x:c>
      <x:c r="K32" s="7" t="str">
        <x:f>'MASTER_QUEUE'!K161</x:f>
        <x:v>Plant Manager &gt; Operations Director &gt; HR Director &gt; Training Manager &gt; Safety Manager &gt; President &gt; CEO</x:v>
      </x:c>
    </x:row>
    <x:row r="33" ht="42" customHeight="1">
      <x:c r="A33" t="str">
        <x:f>'MASTER_QUEUE'!A162</x:f>
        <x:v>Mide Technologies</x:v>
      </x:c>
      <x:c r="B33" t="str">
        <x:f>'MASTER_QUEUE'!B162</x:f>
        <x:v>Engineering &amp; Sensor Technology</x:v>
      </x:c>
      <x:c r="C33" s="12" t="n">
        <x:f>'MASTER_QUEUE'!C162</x:f>
        <x:v>69</x:v>
      </x:c>
      <x:c r="D33" s="13" t="str">
        <x:f>'MASTER_QUEUE'!D162</x:f>
        <x:v>51-200</x:v>
      </x:c>
      <x:c r="E33" s="7" t="str">
        <x:f>'MASTER_QUEUE'!E162</x:f>
        <x:v>https://www.linkedin.com/company/mide-technology-corporation</x:v>
      </x:c>
      <x:c r="F33" s="7" t="str">
        <x:f>'MASTER_QUEUE'!F162</x:f>
        <x:v>https://www.midetechnology.com/</x:v>
      </x:c>
      <x:c r="G33" t="str">
        <x:f>'MASTER_QUEUE'!G162</x:f>
        <x:v>Woburn</x:v>
      </x:c>
      <x:c r="H33" s="8" t="str">
        <x:f>'MASTER_QUEUE'!H162</x:f>
        <x:v>Skrapp</x:v>
      </x:c>
      <x:c r="I33" s="8" t="str">
        <x:f>'MASTER_QUEUE'!I162</x:f>
        <x:v>Not Started</x:v>
      </x:c>
      <x:c r="J33" s="8" t="str">
        <x:f>'MASTER_QUEUE'!J162</x:f>
        <x:v>MID_TECH_PROFESSIONAL</x:v>
      </x:c>
      <x:c r="K33" s="7" t="str">
        <x:f>'MASTER_QUEUE'!K162</x:f>
        <x:v>People Operations Director &gt; HR Director &gt; L&amp;D Manager &gt; Talent Development Manager &gt; Operations Director &gt; Managing Partner &gt; CEO</x:v>
      </x:c>
    </x:row>
    <x:row r="34" ht="42" customHeight="1">
      <x:c r="A34" t="str">
        <x:f>'MASTER_QUEUE'!A163</x:f>
        <x:v>MKS Instruments</x:v>
      </x:c>
      <x:c r="B34" t="str">
        <x:f>'MASTER_QUEUE'!B163</x:f>
        <x:v>Semiconductor Equipment Manufacturing</x:v>
      </x:c>
      <x:c r="C34" s="12" t="n">
        <x:f>'MASTER_QUEUE'!C163</x:f>
        <x:v>4633</x:v>
      </x:c>
      <x:c r="D34" s="13" t="str">
        <x:f>'MASTER_QUEUE'!D163</x:f>
        <x:v>10,001+</x:v>
      </x:c>
      <x:c r="E34" s="7" t="str">
        <x:f>'MASTER_QUEUE'!E163</x:f>
        <x:v>https://www.linkedin.com/company/mks-instruments</x:v>
      </x:c>
      <x:c r="F34" s="7" t="str">
        <x:f>'MASTER_QUEUE'!F163</x:f>
        <x:v>https://www.mks.com/</x:v>
      </x:c>
      <x:c r="G34" t="str">
        <x:f>'MASTER_QUEUE'!G163</x:f>
        <x:v>Andover</x:v>
      </x:c>
      <x:c r="H34" s="8" t="str">
        <x:f>'MASTER_QUEUE'!H163</x:f>
        <x:v>Skrapp</x:v>
      </x:c>
      <x:c r="I34" s="8" t="str">
        <x:f>'MASTER_QUEUE'!I163</x:f>
        <x:v>Not Started</x:v>
      </x:c>
      <x:c r="J34" s="8" t="str">
        <x:f>'MASTER_QUEUE'!J163</x:f>
        <x:v>ENTERPRISE_MANUFACTURING</x:v>
      </x:c>
      <x:c r="K34" s="7" t="str">
        <x:f>'MASTER_QUEUE'!K163</x:f>
        <x:v>Plant Manager &gt; Training Director &gt; L&amp;D Director &gt; Workforce Development Director &gt; Operations Director &gt; HR Director &gt; VP of HR</x:v>
      </x:c>
    </x:row>
    <x:row r="35" ht="42" customHeight="1">
      <x:c r="A35" t="str">
        <x:f>'MASTER_QUEUE'!A164</x:f>
        <x:v>Monogram Foods</x:v>
      </x:c>
      <x:c r="B35" t="str">
        <x:f>'MASTER_QUEUE'!B164</x:f>
        <x:v>Food Manufacturing</x:v>
      </x:c>
      <x:c r="C35" s="12" t="n">
        <x:f>'MASTER_QUEUE'!C164</x:f>
        <x:v>1363</x:v>
      </x:c>
      <x:c r="D35" s="13" t="str">
        <x:f>'MASTER_QUEUE'!D164</x:f>
        <x:v>1,001-5,000</x:v>
      </x:c>
      <x:c r="E35" s="7" t="str">
        <x:f>'MASTER_QUEUE'!E164</x:f>
        <x:v>https://www.linkedin.com/company/monogramfoods</x:v>
      </x:c>
      <x:c r="F35" s="7" t="str">
        <x:f>'MASTER_QUEUE'!F164</x:f>
        <x:v>https://www.monogramfoods.com/</x:v>
      </x:c>
      <x:c r="G35" t="str">
        <x:f>'MASTER_QUEUE'!G164</x:f>
        <x:v>Wilmington</x:v>
      </x:c>
      <x:c r="H35" s="8" t="str">
        <x:f>'MASTER_QUEUE'!H164</x:f>
        <x:v>Skrapp</x:v>
      </x:c>
      <x:c r="I35" s="8" t="str">
        <x:f>'MASTER_QUEUE'!I164</x:f>
        <x:v>Not Started</x:v>
      </x:c>
      <x:c r="J35" s="8" t="str">
        <x:f>'MASTER_QUEUE'!J164</x:f>
        <x:v>ENTERPRISE_MANUFACTURING</x:v>
      </x:c>
      <x:c r="K35" s="7" t="str">
        <x:f>'MASTER_QUEUE'!K164</x:f>
        <x:v>Plant Manager &gt; Training Director &gt; L&amp;D Director &gt; Workforce Development Director &gt; Operations Director &gt; HR Director &gt; VP of HR</x:v>
      </x:c>
    </x:row>
    <x:row r="36" ht="42" customHeight="1">
      <x:c r="A36" t="str">
        <x:f>'MASTER_QUEUE'!A165</x:f>
        <x:v>MSG Staffing Inc</x:v>
      </x:c>
      <x:c r="B36" t="str">
        <x:f>'MASTER_QUEUE'!B165</x:f>
        <x:v>Staffing &amp; Recruiting</x:v>
      </x:c>
      <x:c r="C36" s="12" t="str">
        <x:f>'MASTER_QUEUE'!C165</x:f>
        <x:v>Not visible</x:v>
      </x:c>
      <x:c r="D36" s="13" t="str">
        <x:f>'MASTER_QUEUE'!D165</x:f>
        <x:v>Not visible</x:v>
      </x:c>
      <x:c r="E36" s="7" t="str">
        <x:f>'MASTER_QUEUE'!E165</x:f>
        <x:v>Not verified</x:v>
      </x:c>
      <x:c r="F36" s="7" t="str">
        <x:f>'MASTER_QUEUE'!F165</x:f>
        <x:v>https://msgstaffing.com/</x:v>
      </x:c>
      <x:c r="G36" t="str">
        <x:f>'MASTER_QUEUE'!G165</x:f>
        <x:v>Worcester</x:v>
      </x:c>
      <x:c r="H36" s="8" t="str">
        <x:f>'MASTER_QUEUE'!H165</x:f>
        <x:v>Skrapp</x:v>
      </x:c>
      <x:c r="I36" s="8" t="str">
        <x:f>'MASTER_QUEUE'!I165</x:f>
        <x:v>Not Started</x:v>
      </x:c>
      <x:c r="J36" s="8" t="str">
        <x:f>'MASTER_QUEUE'!J165</x:f>
        <x:v>UNKNOWN_TECH_PROFESSIONAL</x:v>
      </x:c>
      <x:c r="K36" s="7" t="str">
        <x:f>'MASTER_QUEUE'!K165</x:f>
        <x:v>Owner &gt; Founder &gt; Co-Founder &gt; President &gt; CEO &gt; People Operations Director &gt; L&amp;D Director &gt; HR Director</x:v>
      </x:c>
    </x:row>
    <x:row r="37" ht="42" customHeight="1">
      <x:c r="A37" t="str">
        <x:f>'MASTER_QUEUE'!A166</x:f>
        <x:v>Munters Corporation</x:v>
      </x:c>
      <x:c r="B37" t="str">
        <x:f>'MASTER_QUEUE'!B166</x:f>
        <x:v>Industrial Climate Control Equipment</x:v>
      </x:c>
      <x:c r="C37" s="12" t="n">
        <x:f>'MASTER_QUEUE'!C166</x:f>
        <x:v>2629</x:v>
      </x:c>
      <x:c r="D37" s="13" t="str">
        <x:f>'MASTER_QUEUE'!D166</x:f>
        <x:v>1,001-5,000</x:v>
      </x:c>
      <x:c r="E37" s="7" t="str">
        <x:f>'MASTER_QUEUE'!E166</x:f>
        <x:v>https://www.linkedin.com/company/munters</x:v>
      </x:c>
      <x:c r="F37" s="7" t="str">
        <x:f>'MASTER_QUEUE'!F166</x:f>
        <x:v>https://www.munters.com/</x:v>
      </x:c>
      <x:c r="G37" t="str">
        <x:f>'MASTER_QUEUE'!G166</x:f>
        <x:v>Amesbury</x:v>
      </x:c>
      <x:c r="H37" s="8" t="str">
        <x:f>'MASTER_QUEUE'!H166</x:f>
        <x:v>Skrapp</x:v>
      </x:c>
      <x:c r="I37" s="8" t="str">
        <x:f>'MASTER_QUEUE'!I166</x:f>
        <x:v>Not Started</x:v>
      </x:c>
      <x:c r="J37" s="8" t="str">
        <x:f>'MASTER_QUEUE'!J166</x:f>
        <x:v>ENTERPRISE_MANUFACTURING</x:v>
      </x:c>
      <x:c r="K37" s="7" t="str">
        <x:f>'MASTER_QUEUE'!K166</x:f>
        <x:v>Plant Manager &gt; Training Director &gt; L&amp;D Director &gt; Workforce Development Director &gt; Operations Director &gt; HR Director &gt; VP of HR</x:v>
      </x:c>
    </x:row>
    <x:row r="38" ht="42" customHeight="1">
      <x:c r="A38" t="str">
        <x:f>'MASTER_QUEUE'!A167</x:f>
        <x:v>Nanoramic Laboratories</x:v>
      </x:c>
      <x:c r="B38" t="str">
        <x:f>'MASTER_QUEUE'!B167</x:f>
        <x:v>Advanced Materials &amp; Energy Storage</x:v>
      </x:c>
      <x:c r="C38" s="12" t="n">
        <x:f>'MASTER_QUEUE'!C167</x:f>
        <x:v>50</x:v>
      </x:c>
      <x:c r="D38" s="13" t="str">
        <x:f>'MASTER_QUEUE'!D167</x:f>
        <x:v>11-50</x:v>
      </x:c>
      <x:c r="E38" s="7" t="str">
        <x:f>'MASTER_QUEUE'!E167</x:f>
        <x:v>https://www.linkedin.com/company/nanoramic</x:v>
      </x:c>
      <x:c r="F38" s="7" t="str">
        <x:f>'MASTER_QUEUE'!F167</x:f>
        <x:v>https://www.nanoramic.com/</x:v>
      </x:c>
      <x:c r="G38" t="str">
        <x:f>'MASTER_QUEUE'!G167</x:f>
        <x:v>Boston</x:v>
      </x:c>
      <x:c r="H38" s="8" t="str">
        <x:f>'MASTER_QUEUE'!H167</x:f>
        <x:v>Skrapp</x:v>
      </x:c>
      <x:c r="I38" s="8" t="str">
        <x:f>'MASTER_QUEUE'!I167</x:f>
        <x:v>Not Started</x:v>
      </x:c>
      <x:c r="J38" s="8" t="str">
        <x:f>'MASTER_QUEUE'!J167</x:f>
        <x:v>SMALL_MANUFACTURING</x:v>
      </x:c>
      <x:c r="K38" s="7" t="str">
        <x:f>'MASTER_QUEUE'!K167</x:f>
        <x:v>Owner &gt; Founder &gt; Co-Founder &gt; President &gt; CEO &gt; Plant Manager &gt; Operations Manager &gt; Training Manager &gt; HR Manager</x:v>
      </x:c>
    </x:row>
    <x:row r="39" ht="42" customHeight="1">
      <x:c r="A39" t="str">
        <x:f>'MASTER_QUEUE'!A168</x:f>
        <x:v>NeuroLogica</x:v>
      </x:c>
      <x:c r="B39" t="str">
        <x:f>'MASTER_QUEUE'!B168</x:f>
        <x:v>Medical Device Manufacturing</x:v>
      </x:c>
      <x:c r="C39" s="12" t="n">
        <x:f>'MASTER_QUEUE'!C168</x:f>
        <x:v>246</x:v>
      </x:c>
      <x:c r="D39" s="13" t="str">
        <x:f>'MASTER_QUEUE'!D168</x:f>
        <x:v>51-200</x:v>
      </x:c>
      <x:c r="E39" s="7" t="str">
        <x:f>'MASTER_QUEUE'!E168</x:f>
        <x:v>https://www.linkedin.com/company/neurologica</x:v>
      </x:c>
      <x:c r="F39" s="7" t="str">
        <x:f>'MASTER_QUEUE'!F168</x:f>
        <x:v>https://www.neurologica.com/</x:v>
      </x:c>
      <x:c r="G39" t="str">
        <x:f>'MASTER_QUEUE'!G168</x:f>
        <x:v>Danvers</x:v>
      </x:c>
      <x:c r="H39" s="8" t="str">
        <x:f>'MASTER_QUEUE'!H168</x:f>
        <x:v>Skrapp</x:v>
      </x:c>
      <x:c r="I39" s="8" t="str">
        <x:f>'MASTER_QUEUE'!I168</x:f>
        <x:v>Not Started</x:v>
      </x:c>
      <x:c r="J39" s="8" t="str">
        <x:f>'MASTER_QUEUE'!J168</x:f>
        <x:v>LARGE_MANUFACTURING</x:v>
      </x:c>
      <x:c r="K39" s="7" t="str">
        <x:f>'MASTER_QUEUE'!K168</x:f>
        <x:v>Plant Manager &gt; Operations Director &gt; Training Director &gt; L&amp;D Director &gt; HR Director &gt; Safety Director &gt; VP of Operations</x:v>
      </x:c>
    </x:row>
    <x:row r="40" ht="42" customHeight="1">
      <x:c r="A40" t="str">
        <x:f>'MASTER_QUEUE'!A169</x:f>
        <x:v>New England Appliance Group</x:v>
      </x:c>
      <x:c r="B40" t="str">
        <x:f>'MASTER_QUEUE'!B169</x:f>
        <x:v>Appliance Retail</x:v>
      </x:c>
      <x:c r="C40" s="12" t="str">
        <x:f>'MASTER_QUEUE'!C169</x:f>
        <x:v>Not visible</x:v>
      </x:c>
      <x:c r="D40" s="13" t="str">
        <x:f>'MASTER_QUEUE'!D169</x:f>
        <x:v>51-200</x:v>
      </x:c>
      <x:c r="E40" s="7" t="str">
        <x:f>'MASTER_QUEUE'!E169</x:f>
        <x:v>https://www.linkedin.com/company/ne-appliance-group</x:v>
      </x:c>
      <x:c r="F40" s="7" t="str">
        <x:f>'MASTER_QUEUE'!F169</x:f>
        <x:v>https://www.neappliance.com/</x:v>
      </x:c>
      <x:c r="G40" t="str">
        <x:f>'MASTER_QUEUE'!G169</x:f>
        <x:v>Franklin</x:v>
      </x:c>
      <x:c r="H40" s="8" t="str">
        <x:f>'MASTER_QUEUE'!H169</x:f>
        <x:v>Skrapp</x:v>
      </x:c>
      <x:c r="I40" s="8" t="str">
        <x:f>'MASTER_QUEUE'!I169</x:f>
        <x:v>Not Started</x:v>
      </x:c>
      <x:c r="J40" s="8" t="str">
        <x:f>'MASTER_QUEUE'!J169</x:f>
        <x:v>MID_HOSPITALITY_RETAIL</x:v>
      </x:c>
      <x:c r="K40" s="7" t="str">
        <x:f>'MASTER_QUEUE'!K169</x:f>
        <x:v>General Manager &gt; Operations Director &gt; Training Director &gt; Training Manager &gt; HR Director &gt; Regional Manager &gt; President &gt; CEO</x:v>
      </x:c>
    </x:row>
    <x:row r="41" ht="42" customHeight="1">
      <x:c r="A41" t="str">
        <x:f>'MASTER_QUEUE'!A170</x:f>
        <x:v>Nitor</x:v>
      </x:c>
      <x:c r="B41" t="str">
        <x:f>'MASTER_QUEUE'!B170</x:f>
        <x:v>Laser Cutting &amp; Metal Fabrication</x:v>
      </x:c>
      <x:c r="C41" s="12" t="str">
        <x:f>'MASTER_QUEUE'!C170</x:f>
        <x:v>Not visible</x:v>
      </x:c>
      <x:c r="D41" s="13" t="str">
        <x:f>'MASTER_QUEUE'!D170</x:f>
        <x:v>Not visible</x:v>
      </x:c>
      <x:c r="E41" s="7" t="str">
        <x:f>'MASTER_QUEUE'!E170</x:f>
        <x:v>Not verified</x:v>
      </x:c>
      <x:c r="F41" s="7" t="str">
        <x:f>'MASTER_QUEUE'!F170</x:f>
        <x:v>https://nitorlaser.com/</x:v>
      </x:c>
      <x:c r="G41" t="str">
        <x:f>'MASTER_QUEUE'!G170</x:f>
        <x:v>Southwick</x:v>
      </x:c>
      <x:c r="H41" s="8" t="str">
        <x:f>'MASTER_QUEUE'!H170</x:f>
        <x:v>Skrapp</x:v>
      </x:c>
      <x:c r="I41" s="8" t="str">
        <x:f>'MASTER_QUEUE'!I170</x:f>
        <x:v>Not Started</x:v>
      </x:c>
      <x:c r="J41" s="8" t="str">
        <x:f>'MASTER_QUEUE'!J170</x:f>
        <x:v>UNKNOWN_MANUFACTURING</x:v>
      </x:c>
      <x:c r="K41" s="7" t="str">
        <x:f>'MASTER_QUEUE'!K170</x:f>
        <x:v>Owner &gt; President &gt; CEO &gt; Plant Manager &gt; Operations Director &gt; Training Manager &gt; HR Director</x:v>
      </x:c>
    </x:row>
    <x:row r="42" ht="42" customHeight="1">
      <x:c r="A42" t="str">
        <x:f>'MASTER_QUEUE'!A171</x:f>
        <x:v>Northern Tree Service</x:v>
      </x:c>
      <x:c r="B42" t="str">
        <x:f>'MASTER_QUEUE'!B171</x:f>
        <x:v>Tree Care Services</x:v>
      </x:c>
      <x:c r="C42" s="12" t="str">
        <x:f>'MASTER_QUEUE'!C171</x:f>
        <x:v>Not visible</x:v>
      </x:c>
      <x:c r="D42" s="13" t="str">
        <x:f>'MASTER_QUEUE'!D171</x:f>
        <x:v>11-50</x:v>
      </x:c>
      <x:c r="E42" s="7" t="str">
        <x:f>'MASTER_QUEUE'!E171</x:f>
        <x:v>https://www.linkedin.com/company/northern-tree-service</x:v>
      </x:c>
      <x:c r="F42" s="7" t="str">
        <x:f>'MASTER_QUEUE'!F171</x:f>
        <x:v>https://www.northerntree.com/</x:v>
      </x:c>
      <x:c r="G42" t="str">
        <x:f>'MASTER_QUEUE'!G171</x:f>
        <x:v>Palmer</x:v>
      </x:c>
      <x:c r="H42" s="8" t="str">
        <x:f>'MASTER_QUEUE'!H171</x:f>
        <x:v>Skrapp</x:v>
      </x:c>
      <x:c r="I42" s="8" t="str">
        <x:f>'MASTER_QUEUE'!I171</x:f>
        <x:v>Not Started</x:v>
      </x:c>
      <x:c r="J42" s="8" t="str">
        <x:f>'MASTER_QUEUE'!J171</x:f>
        <x:v>SMALL_CONSTRUCTION_TRADES</x:v>
      </x:c>
      <x:c r="K42" s="7" t="str">
        <x:f>'MASTER_QUEUE'!K171</x:f>
        <x:v>Owner &gt; Founder &gt; Co-Founder &gt; President &gt; CEO &gt; Operations Manager &gt; Safety Manager &gt; Training Manager &gt; HR Manager</x:v>
      </x:c>
    </x:row>
    <x:row r="43" ht="42" customHeight="1">
      <x:c r="A43" t="str">
        <x:f>'MASTER_QUEUE'!A172</x:f>
        <x:v>Nuclera Corporation</x:v>
      </x:c>
      <x:c r="B43" t="str">
        <x:f>'MASTER_QUEUE'!B172</x:f>
        <x:v>Biotechnology &amp; Lab Instruments</x:v>
      </x:c>
      <x:c r="C43" s="12" t="n">
        <x:f>'MASTER_QUEUE'!C172</x:f>
        <x:v>120</x:v>
      </x:c>
      <x:c r="D43" s="13" t="str">
        <x:f>'MASTER_QUEUE'!D172</x:f>
        <x:v>51-200</x:v>
      </x:c>
      <x:c r="E43" s="7" t="str">
        <x:f>'MASTER_QUEUE'!E172</x:f>
        <x:v>https://www.linkedin.com/company/nuclera</x:v>
      </x:c>
      <x:c r="F43" s="7" t="str">
        <x:f>'MASTER_QUEUE'!F172</x:f>
        <x:v>https://www.nuclera.com/</x:v>
      </x:c>
      <x:c r="G43" t="str">
        <x:f>'MASTER_QUEUE'!G172</x:f>
        <x:v>Billerica</x:v>
      </x:c>
      <x:c r="H43" s="8" t="str">
        <x:f>'MASTER_QUEUE'!H172</x:f>
        <x:v>Skrapp</x:v>
      </x:c>
      <x:c r="I43" s="8" t="str">
        <x:f>'MASTER_QUEUE'!I172</x:f>
        <x:v>Not Started</x:v>
      </x:c>
      <x:c r="J43" s="8" t="str">
        <x:f>'MASTER_QUEUE'!J172</x:f>
        <x:v>MID_TECH_PROFESSIONAL</x:v>
      </x:c>
      <x:c r="K43" s="7" t="str">
        <x:f>'MASTER_QUEUE'!K172</x:f>
        <x:v>People Operations Director &gt; HR Director &gt; L&amp;D Manager &gt; Talent Development Manager &gt; Operations Director &gt; Managing Partner &gt; CEO</x:v>
      </x:c>
    </x:row>
    <x:row r="44" ht="42" customHeight="1">
      <x:c r="A44" t="str">
        <x:f>'MASTER_QUEUE'!A173</x:f>
        <x:v>Onto Innovation</x:v>
      </x:c>
      <x:c r="B44" t="str">
        <x:f>'MASTER_QUEUE'!B173</x:f>
        <x:v>Semiconductor Equipment Manufacturing</x:v>
      </x:c>
      <x:c r="C44" s="12" t="n">
        <x:f>'MASTER_QUEUE'!C173</x:f>
        <x:v>1373</x:v>
      </x:c>
      <x:c r="D44" s="13" t="str">
        <x:f>'MASTER_QUEUE'!D173</x:f>
        <x:v>1,001-5,000</x:v>
      </x:c>
      <x:c r="E44" s="7" t="str">
        <x:f>'MASTER_QUEUE'!E173</x:f>
        <x:v>https://www.linkedin.com/company/onto-innovation</x:v>
      </x:c>
      <x:c r="F44" s="7" t="str">
        <x:f>'MASTER_QUEUE'!F173</x:f>
        <x:v>https://ontoinnovation.com/</x:v>
      </x:c>
      <x:c r="G44" t="str">
        <x:f>'MASTER_QUEUE'!G173</x:f>
        <x:v>Wilmington</x:v>
      </x:c>
      <x:c r="H44" s="8" t="str">
        <x:f>'MASTER_QUEUE'!H173</x:f>
        <x:v>Skrapp</x:v>
      </x:c>
      <x:c r="I44" s="8" t="str">
        <x:f>'MASTER_QUEUE'!I173</x:f>
        <x:v>Not Started</x:v>
      </x:c>
      <x:c r="J44" s="8" t="str">
        <x:f>'MASTER_QUEUE'!J173</x:f>
        <x:v>ENTERPRISE_MANUFACTURING</x:v>
      </x:c>
      <x:c r="K44" s="7" t="str">
        <x:f>'MASTER_QUEUE'!K173</x:f>
        <x:v>Plant Manager &gt; Training Director &gt; L&amp;D Director &gt; Workforce Development Director &gt; Operations Director &gt; HR Director &gt; VP of HR</x:v>
      </x:c>
    </x:row>
    <x:row r="45" ht="42" customHeight="1">
      <x:c r="A45" t="str">
        <x:f>'MASTER_QUEUE'!A174</x:f>
        <x:v>Optikos</x:v>
      </x:c>
      <x:c r="B45" t="str">
        <x:f>'MASTER_QUEUE'!B174</x:f>
        <x:v>Optical Engineering &amp; Testing</x:v>
      </x:c>
      <x:c r="C45" s="12" t="n">
        <x:f>'MASTER_QUEUE'!C174</x:f>
        <x:v>103</x:v>
      </x:c>
      <x:c r="D45" s="13" t="str">
        <x:f>'MASTER_QUEUE'!D174</x:f>
        <x:v>51-200</x:v>
      </x:c>
      <x:c r="E45" s="7" t="str">
        <x:f>'MASTER_QUEUE'!E174</x:f>
        <x:v>https://www.linkedin.com/company/optikos-llc</x:v>
      </x:c>
      <x:c r="F45" s="7" t="str">
        <x:f>'MASTER_QUEUE'!F174</x:f>
        <x:v>https://www.optikos.com/</x:v>
      </x:c>
      <x:c r="G45" t="str">
        <x:f>'MASTER_QUEUE'!G174</x:f>
        <x:v>Wakefield</x:v>
      </x:c>
      <x:c r="H45" s="8" t="str">
        <x:f>'MASTER_QUEUE'!H174</x:f>
        <x:v>Skrapp</x:v>
      </x:c>
      <x:c r="I45" s="8" t="str">
        <x:f>'MASTER_QUEUE'!I174</x:f>
        <x:v>Not Started</x:v>
      </x:c>
      <x:c r="J45" s="8" t="str">
        <x:f>'MASTER_QUEUE'!J174</x:f>
        <x:v>MID_TECH_PROFESSIONAL</x:v>
      </x:c>
      <x:c r="K45" s="7" t="str">
        <x:f>'MASTER_QUEUE'!K174</x:f>
        <x:v>People Operations Director &gt; HR Director &gt; L&amp;D Manager &gt; Talent Development Manager &gt; Operations Director &gt; Managing Partner &gt; CEO</x:v>
      </x:c>
    </x:row>
    <x:row r="46" ht="42" customHeight="1">
      <x:c r="A46" t="str">
        <x:f>'MASTER_QUEUE'!A175</x:f>
        <x:v>Outdoor Pride Landscaping</x:v>
      </x:c>
      <x:c r="B46" t="str">
        <x:f>'MASTER_QUEUE'!B175</x:f>
        <x:v>Landscaping Services</x:v>
      </x:c>
      <x:c r="C46" s="12" t="str">
        <x:f>'MASTER_QUEUE'!C175</x:f>
        <x:v>Not visible</x:v>
      </x:c>
      <x:c r="D46" s="13" t="str">
        <x:f>'MASTER_QUEUE'!D175</x:f>
        <x:v>51-200</x:v>
      </x:c>
      <x:c r="E46" s="7" t="str">
        <x:f>'MASTER_QUEUE'!E175</x:f>
        <x:v>https://www.linkedin.com/company/outdoor-pride-landscaping</x:v>
      </x:c>
      <x:c r="F46" s="7" t="str">
        <x:f>'MASTER_QUEUE'!F175</x:f>
        <x:v>https://www.outdoorpride.com/</x:v>
      </x:c>
      <x:c r="G46" t="str">
        <x:f>'MASTER_QUEUE'!G175</x:f>
        <x:v>Chelmsford</x:v>
      </x:c>
      <x:c r="H46" s="8" t="str">
        <x:f>'MASTER_QUEUE'!H175</x:f>
        <x:v>Skrapp</x:v>
      </x:c>
      <x:c r="I46" s="8" t="str">
        <x:f>'MASTER_QUEUE'!I175</x:f>
        <x:v>Not Started</x:v>
      </x:c>
      <x:c r="J46" s="8" t="str">
        <x:f>'MASTER_QUEUE'!J175</x:f>
        <x:v>MID_CONSTRUCTION_TRADES</x:v>
      </x:c>
      <x:c r="K46" s="7" t="str">
        <x:f>'MASTER_QUEUE'!K175</x:f>
        <x:v>Operations Director &gt; Safety Director &gt; Safety Manager &gt; Training Manager &gt; HR Director &gt; HR Manager &gt; President &gt; CEO</x:v>
      </x:c>
    </x:row>
    <x:row r="47" ht="42" customHeight="1">
      <x:c r="A47" t="str">
        <x:f>'MASTER_QUEUE'!A176</x:f>
        <x:v>PBNA</x:v>
      </x:c>
      <x:c r="B47" t="str">
        <x:f>'MASTER_QUEUE'!B176</x:f>
        <x:v>Beverage Manufacturing &amp; Distribution</x:v>
      </x:c>
      <x:c r="C47" s="12" t="str">
        <x:f>'MASTER_QUEUE'!C176</x:f>
        <x:v>Not visible</x:v>
      </x:c>
      <x:c r="D47" s="13" t="str">
        <x:f>'MASTER_QUEUE'!D176</x:f>
        <x:v>10,001+</x:v>
      </x:c>
      <x:c r="E47" s="7" t="str">
        <x:f>'MASTER_QUEUE'!E176</x:f>
        <x:v>https://www.linkedin.com/company/pepsico</x:v>
      </x:c>
      <x:c r="F47" s="7" t="str">
        <x:f>'MASTER_QUEUE'!F176</x:f>
        <x:v>https://www.pepsico.com/</x:v>
      </x:c>
      <x:c r="G47" t="str">
        <x:f>'MASTER_QUEUE'!G176</x:f>
        <x:v>Norwood</x:v>
      </x:c>
      <x:c r="H47" s="8" t="str">
        <x:f>'MASTER_QUEUE'!H176</x:f>
        <x:v>Skrapp</x:v>
      </x:c>
      <x:c r="I47" s="8" t="str">
        <x:f>'MASTER_QUEUE'!I176</x:f>
        <x:v>Not Started</x:v>
      </x:c>
      <x:c r="J47" s="8" t="str">
        <x:f>'MASTER_QUEUE'!J176</x:f>
        <x:v>ENTERPRISE_MANUFACTURING</x:v>
      </x:c>
      <x:c r="K47" s="7" t="str">
        <x:f>'MASTER_QUEUE'!K176</x:f>
        <x:v>Plant Manager &gt; Training Director &gt; L&amp;D Director &gt; Workforce Development Director &gt; Operations Director &gt; HR Director &gt; VP of HR</x:v>
      </x:c>
    </x:row>
    <x:row r="48" ht="42" customHeight="1">
      <x:c r="A48" t="str">
        <x:f>'MASTER_QUEUE'!A177</x:f>
        <x:v>Plansee USA</x:v>
      </x:c>
      <x:c r="B48" t="str">
        <x:f>'MASTER_QUEUE'!B177</x:f>
        <x:v>Metals Manufacturing</x:v>
      </x:c>
      <x:c r="C48" s="12" t="str">
        <x:f>'MASTER_QUEUE'!C177</x:f>
        <x:v>Not visible</x:v>
      </x:c>
      <x:c r="D48" s="13" t="str">
        <x:f>'MASTER_QUEUE'!D177</x:f>
        <x:v>Not visible</x:v>
      </x:c>
      <x:c r="E48" s="7" t="str">
        <x:f>'MASTER_QUEUE'!E177</x:f>
        <x:v>https://www.linkedin.com/company/plansee</x:v>
      </x:c>
      <x:c r="F48" s="7" t="str">
        <x:f>'MASTER_QUEUE'!F177</x:f>
        <x:v>https://www.plansee.com/</x:v>
      </x:c>
      <x:c r="G48" t="str">
        <x:f>'MASTER_QUEUE'!G177</x:f>
        <x:v>Franklin</x:v>
      </x:c>
      <x:c r="H48" s="8" t="str">
        <x:f>'MASTER_QUEUE'!H177</x:f>
        <x:v>Skrapp</x:v>
      </x:c>
      <x:c r="I48" s="8" t="str">
        <x:f>'MASTER_QUEUE'!I177</x:f>
        <x:v>Not Started</x:v>
      </x:c>
      <x:c r="J48" s="8" t="str">
        <x:f>'MASTER_QUEUE'!J177</x:f>
        <x:v>UNKNOWN_MANUFACTURING</x:v>
      </x:c>
      <x:c r="K48" s="7" t="str">
        <x:f>'MASTER_QUEUE'!K177</x:f>
        <x:v>Owner &gt; President &gt; CEO &gt; Plant Manager &gt; Operations Director &gt; Training Manager &gt; HR Director</x:v>
      </x:c>
    </x:row>
    <x:row r="49" ht="42" customHeight="1">
      <x:c r="A49" t="str">
        <x:f>'MASTER_QUEUE'!A178</x:f>
        <x:v>Polyvinyl Films</x:v>
      </x:c>
      <x:c r="B49" t="str">
        <x:f>'MASTER_QUEUE'!B178</x:f>
        <x:v>Plastics Manufacturing</x:v>
      </x:c>
      <x:c r="C49" s="12" t="n">
        <x:f>'MASTER_QUEUE'!C178</x:f>
        <x:v>56</x:v>
      </x:c>
      <x:c r="D49" s="13" t="str">
        <x:f>'MASTER_QUEUE'!D178</x:f>
        <x:v>51-200</x:v>
      </x:c>
      <x:c r="E49" s="7" t="str">
        <x:f>'MASTER_QUEUE'!E178</x:f>
        <x:v>https://www.linkedin.com/company/polyvinyl-films-inc-</x:v>
      </x:c>
      <x:c r="F49" s="7" t="str">
        <x:f>'MASTER_QUEUE'!F178</x:f>
        <x:v>https://www.polyvinylfilms.com/</x:v>
      </x:c>
      <x:c r="G49" t="str">
        <x:f>'MASTER_QUEUE'!G178</x:f>
        <x:v>Sutton</x:v>
      </x:c>
      <x:c r="H49" s="8" t="str">
        <x:f>'MASTER_QUEUE'!H178</x:f>
        <x:v>Skrapp</x:v>
      </x:c>
      <x:c r="I49" s="8" t="str">
        <x:f>'MASTER_QUEUE'!I178</x:f>
        <x:v>Not Started</x:v>
      </x:c>
      <x:c r="J49" s="8" t="str">
        <x:f>'MASTER_QUEUE'!J178</x:f>
        <x:v>MID_MANUFACTURING</x:v>
      </x:c>
      <x:c r="K49" s="7" t="str">
        <x:f>'MASTER_QUEUE'!K178</x:f>
        <x:v>Plant Manager &gt; Operations Director &gt; HR Director &gt; Training Manager &gt; Safety Manager &gt; President &gt; CEO</x:v>
      </x:c>
    </x:row>
    <x:row r="50" ht="42" customHeight="1">
      <x:c r="A50" t="str">
        <x:f>'MASTER_QUEUE'!A179</x:f>
        <x:v>Precision Coating</x:v>
      </x:c>
      <x:c r="B50" t="str">
        <x:f>'MASTER_QUEUE'!B179</x:f>
        <x:v>Medical &amp; Industrial Coatings</x:v>
      </x:c>
      <x:c r="C50" s="12" t="str">
        <x:f>'MASTER_QUEUE'!C179</x:f>
        <x:v>Not visible</x:v>
      </x:c>
      <x:c r="D50" s="13" t="str">
        <x:f>'MASTER_QUEUE'!D179</x:f>
        <x:v>201-500</x:v>
      </x:c>
      <x:c r="E50" s="7" t="str">
        <x:f>'MASTER_QUEUE'!E179</x:f>
        <x:v>https://www.linkedin.com/company/precision-coating</x:v>
      </x:c>
      <x:c r="F50" s="7" t="str">
        <x:f>'MASTER_QUEUE'!F179</x:f>
        <x:v>https://www.precisioncoating.com/</x:v>
      </x:c>
      <x:c r="G50" t="str">
        <x:f>'MASTER_QUEUE'!G179</x:f>
        <x:v>Hudson</x:v>
      </x:c>
      <x:c r="H50" s="8" t="str">
        <x:f>'MASTER_QUEUE'!H179</x:f>
        <x:v>Skrapp</x:v>
      </x:c>
      <x:c r="I50" s="8" t="str">
        <x:f>'MASTER_QUEUE'!I179</x:f>
        <x:v>Not Started</x:v>
      </x:c>
      <x:c r="J50" s="8" t="str">
        <x:f>'MASTER_QUEUE'!J179</x:f>
        <x:v>LARGE_MANUFACTURING</x:v>
      </x:c>
      <x:c r="K50" s="7" t="str">
        <x:f>'MASTER_QUEUE'!K179</x:f>
        <x:v>Plant Manager &gt; Operations Director &gt; Training Director &gt; L&amp;D Director &gt; HR Director &gt; Safety Director &gt; VP of Operations</x:v>
      </x:c>
    </x:row>
    <x:row r="51" ht="42" customHeight="1">
      <x:c r="A51" t="str">
        <x:f>'MASTER_QUEUE'!A180</x:f>
        <x:v>Premier Fence</x:v>
      </x:c>
      <x:c r="B51" t="str">
        <x:f>'MASTER_QUEUE'!B180</x:f>
        <x:v>Fencing &amp; Construction</x:v>
      </x:c>
      <x:c r="C51" s="12" t="n">
        <x:f>'MASTER_QUEUE'!C180</x:f>
        <x:v>82</x:v>
      </x:c>
      <x:c r="D51" s="13" t="str">
        <x:f>'MASTER_QUEUE'!D180</x:f>
        <x:v>51-200</x:v>
      </x:c>
      <x:c r="E51" s="7" t="str">
        <x:f>'MASTER_QUEUE'!E180</x:f>
        <x:v>https://www.linkedin.com/company/premier-fence-llc</x:v>
      </x:c>
      <x:c r="F51" s="7" t="str">
        <x:f>'MASTER_QUEUE'!F180</x:f>
        <x:v>https://www.premier-fence.com/</x:v>
      </x:c>
      <x:c r="G51" t="str">
        <x:f>'MASTER_QUEUE'!G180</x:f>
        <x:v>Canton</x:v>
      </x:c>
      <x:c r="H51" s="8" t="str">
        <x:f>'MASTER_QUEUE'!H180</x:f>
        <x:v>Skrapp</x:v>
      </x:c>
      <x:c r="I51" s="8" t="str">
        <x:f>'MASTER_QUEUE'!I180</x:f>
        <x:v>Not Started</x:v>
      </x:c>
      <x:c r="J51" s="8" t="str">
        <x:f>'MASTER_QUEUE'!J180</x:f>
        <x:v>MID_CONSTRUCTION_TRADES</x:v>
      </x:c>
      <x:c r="K51" s="7" t="str">
        <x:f>'MASTER_QUEUE'!K180</x:f>
        <x:v>Operations Director &gt; Safety Director &gt; Safety Manager &gt; Training Manager &gt; HR Director &gt; HR Manager &gt; President &gt; CEO</x:v>
      </x:c>
    </x:row>
  </x:sheetData>
  <x:conditionalFormatting sqref="C2:F51">
    <x:cfRule type="containsText" dxfId="21" priority="1" operator="containsText" text="Not verified"/>
    <x:cfRule type="containsText" dxfId="22" priority="2" operator="containsText" text="Not visible"/>
  </x:conditionalFormatting>
  <x:conditionalFormatting sqref="I2:I51">
    <x:cfRule type="containsText" dxfId="23" priority="3" operator="containsText" text="Not Started"/>
    <x:cfRule type="containsText" dxfId="24" priority="4" operator="containsText" text="In Progress"/>
    <x:cfRule type="containsText" dxfId="25" priority="5" operator="containsText" text="Ready"/>
    <x:cfRule type="containsText" dxfId="26" priority="6" operator="containsText" text="Needs Review"/>
    <x:cfRule type="containsText" dxfId="27" priority="7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8244fc58408744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5" hidden="0" customWidth="1"/>
    <x:col min="3" max="3" width="21" hidden="0" customWidth="1"/>
    <x:col min="4" max="4" width="22" hidden="0" customWidth="1"/>
    <x:col min="5" max="5" width="52" hidden="0" customWidth="1"/>
    <x:col min="6" max="6" width="42" hidden="0" customWidth="1"/>
    <x:col min="7" max="7" width="20" hidden="0" customWidth="1"/>
    <x:col min="8" max="8" width="17" hidden="0" customWidth="1"/>
    <x:col min="9" max="9" width="19" hidden="0" customWidth="1"/>
    <x:col min="10" max="10" width="34" hidden="0" customWidth="1"/>
    <x:col min="11" max="11" width="92" hidden="0" customWidth="1"/>
  </x:cols>
  <x:sheetData>
    <x:row r="1" ht="30" customHeight="1">
      <x:c r="A1" t="str">
        <x:v>company</x:v>
      </x:c>
      <x:c r="B1" t="str">
        <x:v>industry</x:v>
      </x:c>
      <x:c r="C1" t="str">
        <x:v>linkedinEmployeeCount</x:v>
      </x:c>
      <x:c r="D1" t="str">
        <x:v>linkedInCompanySize</x:v>
      </x:c>
      <x:c r="E1" t="str">
        <x:v>linkedInUrl</x:v>
      </x:c>
      <x:c r="F1" t="str">
        <x:v>website</x:v>
      </x:c>
      <x:c r="G1" t="str">
        <x:v>city</x:v>
      </x:c>
      <x:c r="H1" t="str">
        <x:v>assignedTool</x:v>
      </x:c>
      <x:c r="I1" t="str">
        <x:v>reviewStatus</x:v>
      </x:c>
      <x:c r="J1" t="str">
        <x:v>targetingTrack</x:v>
      </x:c>
      <x:c r="K1" t="str">
        <x:v>targetTitlePriority</x:v>
      </x:c>
    </x:row>
    <x:row r="2" ht="42" customHeight="1">
      <x:c r="A2" t="str">
        <x:f>'MASTER_QUEUE'!A181</x:f>
        <x:v>Primetals Technologies</x:v>
      </x:c>
      <x:c r="B2" t="str">
        <x:f>'MASTER_QUEUE'!B181</x:f>
        <x:v>Industrial Machinery Manufacturing</x:v>
      </x:c>
      <x:c r="C2" s="12" t="n">
        <x:f>'MASTER_QUEUE'!C181</x:f>
        <x:v>4029</x:v>
      </x:c>
      <x:c r="D2" s="13" t="str">
        <x:f>'MASTER_QUEUE'!D181</x:f>
        <x:v>5,001-10,000</x:v>
      </x:c>
      <x:c r="E2" s="7" t="str">
        <x:f>'MASTER_QUEUE'!E181</x:f>
        <x:v>https://www.linkedin.com/company/primetals</x:v>
      </x:c>
      <x:c r="F2" s="7" t="str">
        <x:f>'MASTER_QUEUE'!F181</x:f>
        <x:v>https://www.primetals.com/</x:v>
      </x:c>
      <x:c r="G2" t="str">
        <x:f>'MASTER_QUEUE'!G181</x:f>
        <x:v>Sutton</x:v>
      </x:c>
      <x:c r="H2" s="8" t="str">
        <x:f>'MASTER_QUEUE'!H181</x:f>
        <x:v>Snov</x:v>
      </x:c>
      <x:c r="I2" s="8" t="str">
        <x:f>'MASTER_QUEUE'!I181</x:f>
        <x:v>Not Started</x:v>
      </x:c>
      <x:c r="J2" s="8" t="str">
        <x:f>'MASTER_QUEUE'!J181</x:f>
        <x:v>ENTERPRISE_MANUFACTURING</x:v>
      </x:c>
      <x:c r="K2" s="7" t="str">
        <x:f>'MASTER_QUEUE'!K181</x:f>
        <x:v>Plant Manager &gt; Training Director &gt; L&amp;D Director &gt; Workforce Development Director &gt; Operations Director &gt; HR Director &gt; VP of HR</x:v>
      </x:c>
    </x:row>
    <x:row r="3" ht="42" customHeight="1">
      <x:c r="A3" t="str">
        <x:f>'MASTER_QUEUE'!A182</x:f>
        <x:v>QPS</x:v>
      </x:c>
      <x:c r="B3" t="str">
        <x:f>'MASTER_QUEUE'!B182</x:f>
        <x:v>Professional Training &amp; Quality Management</x:v>
      </x:c>
      <x:c r="C3" s="12" t="str">
        <x:f>'MASTER_QUEUE'!C182</x:f>
        <x:v>Not visible</x:v>
      </x:c>
      <x:c r="D3" s="13" t="str">
        <x:f>'MASTER_QUEUE'!D182</x:f>
        <x:v>51-200</x:v>
      </x:c>
      <x:c r="E3" s="7" t="str">
        <x:f>'MASTER_QUEUE'!E182</x:f>
        <x:v>https://www.linkedin.com/company/quality-productivity-solutions-inc</x:v>
      </x:c>
      <x:c r="F3" s="7" t="str">
        <x:f>'MASTER_QUEUE'!F182</x:f>
        <x:v>https://qpsinc.com/</x:v>
      </x:c>
      <x:c r="G3" t="str">
        <x:f>'MASTER_QUEUE'!G182</x:f>
        <x:v>Statewide</x:v>
      </x:c>
      <x:c r="H3" s="8" t="str">
        <x:f>'MASTER_QUEUE'!H182</x:f>
        <x:v>Snov</x:v>
      </x:c>
      <x:c r="I3" s="8" t="str">
        <x:f>'MASTER_QUEUE'!I182</x:f>
        <x:v>Not Started</x:v>
      </x:c>
      <x:c r="J3" s="8" t="str">
        <x:f>'MASTER_QUEUE'!J182</x:f>
        <x:v>MID_TECH_PROFESSIONAL</x:v>
      </x:c>
      <x:c r="K3" s="7" t="str">
        <x:f>'MASTER_QUEUE'!K182</x:f>
        <x:v>People Operations Director &gt; HR Director &gt; L&amp;D Manager &gt; Talent Development Manager &gt; Operations Director &gt; Managing Partner &gt; CEO</x:v>
      </x:c>
    </x:row>
    <x:row r="4" ht="42" customHeight="1">
      <x:c r="A4" t="str">
        <x:f>'MASTER_QUEUE'!A183</x:f>
        <x:v>Quanterix</x:v>
      </x:c>
      <x:c r="B4" t="str">
        <x:f>'MASTER_QUEUE'!B183</x:f>
        <x:v>Biotechnology &amp; Diagnostics</x:v>
      </x:c>
      <x:c r="C4" s="12" t="n">
        <x:f>'MASTER_QUEUE'!C183</x:f>
        <x:v>509</x:v>
      </x:c>
      <x:c r="D4" s="13" t="str">
        <x:f>'MASTER_QUEUE'!D183</x:f>
        <x:v>201-500</x:v>
      </x:c>
      <x:c r="E4" s="7" t="str">
        <x:f>'MASTER_QUEUE'!E183</x:f>
        <x:v>https://www.linkedin.com/company/quanterix</x:v>
      </x:c>
      <x:c r="F4" s="7" t="str">
        <x:f>'MASTER_QUEUE'!F183</x:f>
        <x:v>https://www.quanterix.com/</x:v>
      </x:c>
      <x:c r="G4" t="str">
        <x:f>'MASTER_QUEUE'!G183</x:f>
        <x:v>Billerica</x:v>
      </x:c>
      <x:c r="H4" s="8" t="str">
        <x:f>'MASTER_QUEUE'!H183</x:f>
        <x:v>Snov</x:v>
      </x:c>
      <x:c r="I4" s="8" t="str">
        <x:f>'MASTER_QUEUE'!I183</x:f>
        <x:v>Not Started</x:v>
      </x:c>
      <x:c r="J4" s="8" t="str">
        <x:f>'MASTER_QUEUE'!J183</x:f>
        <x:v>LARGE_TECH_PROFESSIONAL</x:v>
      </x:c>
      <x:c r="K4" s="7" t="str">
        <x:f>'MASTER_QUEUE'!K183</x:f>
        <x:v>L&amp;D Director &gt; People Operations Director &gt; Talent Development Director &gt; Organizational Development Director &gt; HR Director &gt; VP of People</x:v>
      </x:c>
    </x:row>
    <x:row r="5" ht="42" customHeight="1">
      <x:c r="A5" t="str">
        <x:f>'MASTER_QUEUE'!A184</x:f>
        <x:v>R. H. White Companies</x:v>
      </x:c>
      <x:c r="B5" t="str">
        <x:f>'MASTER_QUEUE'!B184</x:f>
        <x:v>Construction &amp; Utility Services</x:v>
      </x:c>
      <x:c r="C5" s="12" t="n">
        <x:f>'MASTER_QUEUE'!C184</x:f>
        <x:v>237</x:v>
      </x:c>
      <x:c r="D5" s="13" t="str">
        <x:f>'MASTER_QUEUE'!D184</x:f>
        <x:v>501-1,000</x:v>
      </x:c>
      <x:c r="E5" s="7" t="str">
        <x:f>'MASTER_QUEUE'!E184</x:f>
        <x:v>https://www.linkedin.com/company/r-h-white-construction</x:v>
      </x:c>
      <x:c r="F5" s="7" t="str">
        <x:f>'MASTER_QUEUE'!F184</x:f>
        <x:v>https://www.rhwhite.com/</x:v>
      </x:c>
      <x:c r="G5" t="str">
        <x:f>'MASTER_QUEUE'!G184</x:f>
        <x:v>Auburn</x:v>
      </x:c>
      <x:c r="H5" s="8" t="str">
        <x:f>'MASTER_QUEUE'!H184</x:f>
        <x:v>Snov</x:v>
      </x:c>
      <x:c r="I5" s="8" t="str">
        <x:f>'MASTER_QUEUE'!I184</x:f>
        <x:v>Not Started</x:v>
      </x:c>
      <x:c r="J5" s="8" t="str">
        <x:f>'MASTER_QUEUE'!J184</x:f>
        <x:v>LARGE_CONSTRUCTION_TRADES</x:v>
      </x:c>
      <x:c r="K5" s="7" t="str">
        <x:f>'MASTER_QUEUE'!K184</x:f>
        <x:v>Operations Director &gt; Safety Director &gt; Training Director &gt; L&amp;D Director &gt; HR Director &gt; VP of Operations</x:v>
      </x:c>
    </x:row>
    <x:row r="6" ht="42" customHeight="1">
      <x:c r="A6" t="str">
        <x:f>'MASTER_QUEUE'!A185</x:f>
        <x:v>RCAP Solutions</x:v>
      </x:c>
      <x:c r="B6" t="str">
        <x:f>'MASTER_QUEUE'!B185</x:f>
        <x:v>Nonprofit &amp; Community Development</x:v>
      </x:c>
      <x:c r="C6" s="12" t="n">
        <x:f>'MASTER_QUEUE'!C185</x:f>
        <x:v>130</x:v>
      </x:c>
      <x:c r="D6" s="13" t="str">
        <x:f>'MASTER_QUEUE'!D185</x:f>
        <x:v>51-200</x:v>
      </x:c>
      <x:c r="E6" s="7" t="str">
        <x:f>'MASTER_QUEUE'!E185</x:f>
        <x:v>https://www.linkedin.com/company/rcap-solutions-inc.</x:v>
      </x:c>
      <x:c r="F6" s="7" t="str">
        <x:f>'MASTER_QUEUE'!F185</x:f>
        <x:v>https://www.rcapsolutions.org/</x:v>
      </x:c>
      <x:c r="G6" t="str">
        <x:f>'MASTER_QUEUE'!G185</x:f>
        <x:v>Worcester</x:v>
      </x:c>
      <x:c r="H6" s="8" t="str">
        <x:f>'MASTER_QUEUE'!H185</x:f>
        <x:v>Snov</x:v>
      </x:c>
      <x:c r="I6" s="8" t="str">
        <x:f>'MASTER_QUEUE'!I185</x:f>
        <x:v>Not Started</x:v>
      </x:c>
      <x:c r="J6" s="8" t="str">
        <x:f>'MASTER_QUEUE'!J185</x:f>
        <x:v>MID_NONPROFIT_SOCIAL</x:v>
      </x:c>
      <x:c r="K6" s="7" t="str">
        <x:f>'MASTER_QUEUE'!K185</x:f>
        <x:v>Executive Director &gt; Workforce Development Director &gt; Training Director &gt; L&amp;D Director &gt; Operations Director &gt; HR Director</x:v>
      </x:c>
    </x:row>
    <x:row r="7" ht="42" customHeight="1">
      <x:c r="A7" t="str">
        <x:f>'MASTER_QUEUE'!A186</x:f>
        <x:v>Reading Cooperative Bank</x:v>
      </x:c>
      <x:c r="B7" t="str">
        <x:f>'MASTER_QUEUE'!B186</x:f>
        <x:v>Banking</x:v>
      </x:c>
      <x:c r="C7" s="12" t="n">
        <x:f>'MASTER_QUEUE'!C186</x:f>
        <x:v>128</x:v>
      </x:c>
      <x:c r="D7" s="13" t="str">
        <x:f>'MASTER_QUEUE'!D186</x:f>
        <x:v>51-200</x:v>
      </x:c>
      <x:c r="E7" s="7" t="str">
        <x:f>'MASTER_QUEUE'!E186</x:f>
        <x:v>https://www.linkedin.com/company/reading-co-operative-bank</x:v>
      </x:c>
      <x:c r="F7" s="7" t="str">
        <x:f>'MASTER_QUEUE'!F186</x:f>
        <x:v>https://www.readingcoop.com/</x:v>
      </x:c>
      <x:c r="G7" t="str">
        <x:f>'MASTER_QUEUE'!G186</x:f>
        <x:v>Reading</x:v>
      </x:c>
      <x:c r="H7" s="8" t="str">
        <x:f>'MASTER_QUEUE'!H186</x:f>
        <x:v>Snov</x:v>
      </x:c>
      <x:c r="I7" s="8" t="str">
        <x:f>'MASTER_QUEUE'!I186</x:f>
        <x:v>Not Started</x:v>
      </x:c>
      <x:c r="J7" s="8" t="str">
        <x:f>'MASTER_QUEUE'!J186</x:f>
        <x:v>MID_FINANCIAL_SERVICES</x:v>
      </x:c>
      <x:c r="K7" s="7" t="str">
        <x:f>'MASTER_QUEUE'!K186</x:f>
        <x:v>HR Director &gt; L&amp;D Manager &gt; Training Manager &gt; COO &gt; Operations Director &gt; President &gt; CEO</x:v>
      </x:c>
    </x:row>
    <x:row r="8" ht="42" customHeight="1">
      <x:c r="A8" t="str">
        <x:f>'MASTER_QUEUE'!A187</x:f>
        <x:v>Rebel Restaurants</x:v>
      </x:c>
      <x:c r="B8" t="str">
        <x:f>'MASTER_QUEUE'!B187</x:f>
        <x:v>Restaurants</x:v>
      </x:c>
      <x:c r="C8" s="12" t="str">
        <x:f>'MASTER_QUEUE'!C187</x:f>
        <x:v>Not visible</x:v>
      </x:c>
      <x:c r="D8" s="13" t="str">
        <x:f>'MASTER_QUEUE'!D187</x:f>
        <x:v>1,001-5,000</x:v>
      </x:c>
      <x:c r="E8" s="7" t="str">
        <x:f>'MASTER_QUEUE'!E187</x:f>
        <x:v>https://www.linkedin.com/company/rebel-restaurants</x:v>
      </x:c>
      <x:c r="F8" s="7" t="str">
        <x:f>'MASTER_QUEUE'!F187</x:f>
        <x:v>https://www.rebelrestaurants.com/</x:v>
      </x:c>
      <x:c r="G8" t="str">
        <x:f>'MASTER_QUEUE'!G187</x:f>
        <x:v>Boston</x:v>
      </x:c>
      <x:c r="H8" s="8" t="str">
        <x:f>'MASTER_QUEUE'!H187</x:f>
        <x:v>Snov</x:v>
      </x:c>
      <x:c r="I8" s="8" t="str">
        <x:f>'MASTER_QUEUE'!I187</x:f>
        <x:v>Not Started</x:v>
      </x:c>
      <x:c r="J8" s="8" t="str">
        <x:f>'MASTER_QUEUE'!J187</x:f>
        <x:v>ENTERPRISE_HOSPITALITY_RETAIL</x:v>
      </x:c>
      <x:c r="K8" s="7" t="str">
        <x:f>'MASTER_QUEUE'!K187</x:f>
        <x:v>L&amp;D Director &gt; Training Director &gt; Regional Operations Director &gt; HR Director &gt; VP of Operations &gt; VP of HR</x:v>
      </x:c>
    </x:row>
    <x:row r="9" ht="42" customHeight="1">
      <x:c r="A9" t="str">
        <x:f>'MASTER_QUEUE'!A188</x:f>
        <x:v>Richards Design Inc.</x:v>
      </x:c>
      <x:c r="B9" t="str">
        <x:f>'MASTER_QUEUE'!B188</x:f>
        <x:v>Window &amp; Glass Manufacturing</x:v>
      </x:c>
      <x:c r="C9" s="12" t="str">
        <x:f>'MASTER_QUEUE'!C188</x:f>
        <x:v>Not visible</x:v>
      </x:c>
      <x:c r="D9" s="13" t="str">
        <x:f>'MASTER_QUEUE'!D188</x:f>
        <x:v>Not visible</x:v>
      </x:c>
      <x:c r="E9" s="7" t="str">
        <x:f>'MASTER_QUEUE'!E188</x:f>
        <x:v>Not verified</x:v>
      </x:c>
      <x:c r="F9" s="7" t="str">
        <x:f>'MASTER_QUEUE'!F188</x:f>
        <x:v>http://www.richardsdesign.net/</x:v>
      </x:c>
      <x:c r="G9" t="str">
        <x:f>'MASTER_QUEUE'!G188</x:f>
        <x:v>East Falmouth</x:v>
      </x:c>
      <x:c r="H9" s="8" t="str">
        <x:f>'MASTER_QUEUE'!H188</x:f>
        <x:v>Snov</x:v>
      </x:c>
      <x:c r="I9" s="8" t="str">
        <x:f>'MASTER_QUEUE'!I188</x:f>
        <x:v>Not Started</x:v>
      </x:c>
      <x:c r="J9" s="8" t="str">
        <x:f>'MASTER_QUEUE'!J188</x:f>
        <x:v>UNKNOWN_MANUFACTURING</x:v>
      </x:c>
      <x:c r="K9" s="7" t="str">
        <x:f>'MASTER_QUEUE'!K188</x:f>
        <x:v>Owner &gt; President &gt; CEO &gt; Plant Manager &gt; Operations Director &gt; Training Manager &gt; HR Director</x:v>
      </x:c>
    </x:row>
    <x:row r="10" ht="42" customHeight="1">
      <x:c r="A10" t="str">
        <x:f>'MASTER_QUEUE'!A189</x:f>
        <x:v>Romanow Container</x:v>
      </x:c>
      <x:c r="B10" t="str">
        <x:f>'MASTER_QUEUE'!B189</x:f>
        <x:v>Packaging Manufacturing</x:v>
      </x:c>
      <x:c r="C10" s="12" t="n">
        <x:f>'MASTER_QUEUE'!C189</x:f>
        <x:v>79</x:v>
      </x:c>
      <x:c r="D10" s="13" t="str">
        <x:f>'MASTER_QUEUE'!D189</x:f>
        <x:v>51-200</x:v>
      </x:c>
      <x:c r="E10" s="7" t="str">
        <x:f>'MASTER_QUEUE'!E189</x:f>
        <x:v>https://www.linkedin.com/company/romanow-container</x:v>
      </x:c>
      <x:c r="F10" s="7" t="str">
        <x:f>'MASTER_QUEUE'!F189</x:f>
        <x:v>https://www.romanowcontainer.com/</x:v>
      </x:c>
      <x:c r="G10" t="str">
        <x:f>'MASTER_QUEUE'!G189</x:f>
        <x:v>Westwood</x:v>
      </x:c>
      <x:c r="H10" s="8" t="str">
        <x:f>'MASTER_QUEUE'!H189</x:f>
        <x:v>Snov</x:v>
      </x:c>
      <x:c r="I10" s="8" t="str">
        <x:f>'MASTER_QUEUE'!I189</x:f>
        <x:v>Not Started</x:v>
      </x:c>
      <x:c r="J10" s="8" t="str">
        <x:f>'MASTER_QUEUE'!J189</x:f>
        <x:v>MID_MANUFACTURING</x:v>
      </x:c>
      <x:c r="K10" s="7" t="str">
        <x:f>'MASTER_QUEUE'!K189</x:f>
        <x:v>Plant Manager &gt; Operations Director &gt; HR Director &gt; Training Manager &gt; Safety Manager &gt; President &gt; CEO</x:v>
      </x:c>
    </x:row>
    <x:row r="11" ht="42" customHeight="1">
      <x:c r="A11" t="str">
        <x:f>'MASTER_QUEUE'!A190</x:f>
        <x:v>Ruland Manufacturing</x:v>
      </x:c>
      <x:c r="B11" t="str">
        <x:f>'MASTER_QUEUE'!B190</x:f>
        <x:v>Industrial Machinery Manufacturing</x:v>
      </x:c>
      <x:c r="C11" s="12" t="str">
        <x:f>'MASTER_QUEUE'!C190</x:f>
        <x:v>Not visible</x:v>
      </x:c>
      <x:c r="D11" s="13" t="str">
        <x:f>'MASTER_QUEUE'!D190</x:f>
        <x:v>51-200</x:v>
      </x:c>
      <x:c r="E11" s="7" t="str">
        <x:f>'MASTER_QUEUE'!E190</x:f>
        <x:v>https://www.linkedin.com/company/ruland-manufacturing-co--inc-</x:v>
      </x:c>
      <x:c r="F11" s="7" t="str">
        <x:f>'MASTER_QUEUE'!F190</x:f>
        <x:v>https://www.ruland.com/</x:v>
      </x:c>
      <x:c r="G11" t="str">
        <x:f>'MASTER_QUEUE'!G190</x:f>
        <x:v>Marlborough</x:v>
      </x:c>
      <x:c r="H11" s="8" t="str">
        <x:f>'MASTER_QUEUE'!H190</x:f>
        <x:v>Snov</x:v>
      </x:c>
      <x:c r="I11" s="8" t="str">
        <x:f>'MASTER_QUEUE'!I190</x:f>
        <x:v>Not Started</x:v>
      </x:c>
      <x:c r="J11" s="8" t="str">
        <x:f>'MASTER_QUEUE'!J190</x:f>
        <x:v>MID_MANUFACTURING</x:v>
      </x:c>
      <x:c r="K11" s="7" t="str">
        <x:f>'MASTER_QUEUE'!K190</x:f>
        <x:v>Plant Manager &gt; Operations Director &gt; HR Director &gt; Training Manager &gt; Safety Manager &gt; President &gt; CEO</x:v>
      </x:c>
    </x:row>
    <x:row r="12" ht="42" customHeight="1">
      <x:c r="A12" t="str">
        <x:f>'MASTER_QUEUE'!A191</x:f>
        <x:v>Rypos</x:v>
      </x:c>
      <x:c r="B12" t="str">
        <x:f>'MASTER_QUEUE'!B191</x:f>
        <x:v>Clean Technology &amp; Emissions Control</x:v>
      </x:c>
      <x:c r="C12" s="12" t="str">
        <x:f>'MASTER_QUEUE'!C191</x:f>
        <x:v>Not visible</x:v>
      </x:c>
      <x:c r="D12" s="13" t="str">
        <x:f>'MASTER_QUEUE'!D191</x:f>
        <x:v>11-50</x:v>
      </x:c>
      <x:c r="E12" s="7" t="str">
        <x:f>'MASTER_QUEUE'!E191</x:f>
        <x:v>https://www.linkedin.com/company/rypos</x:v>
      </x:c>
      <x:c r="F12" s="7" t="str">
        <x:f>'MASTER_QUEUE'!F191</x:f>
        <x:v>https://www.rypos.com/</x:v>
      </x:c>
      <x:c r="G12" t="str">
        <x:f>'MASTER_QUEUE'!G191</x:f>
        <x:v>Franklin</x:v>
      </x:c>
      <x:c r="H12" s="8" t="str">
        <x:f>'MASTER_QUEUE'!H191</x:f>
        <x:v>Snov</x:v>
      </x:c>
      <x:c r="I12" s="8" t="str">
        <x:f>'MASTER_QUEUE'!I191</x:f>
        <x:v>Not Started</x:v>
      </x:c>
      <x:c r="J12" s="8" t="str">
        <x:f>'MASTER_QUEUE'!J191</x:f>
        <x:v>SMALL_MANUFACTURING</x:v>
      </x:c>
      <x:c r="K12" s="7" t="str">
        <x:f>'MASTER_QUEUE'!K191</x:f>
        <x:v>Owner &gt; Founder &gt; Co-Founder &gt; President &gt; CEO &gt; Plant Manager &gt; Operations Manager &gt; Training Manager &gt; HR Manager</x:v>
      </x:c>
    </x:row>
    <x:row r="13" ht="42" customHeight="1">
      <x:c r="A13" t="str">
        <x:f>'MASTER_QUEUE'!A192</x:f>
        <x:v>S&amp;P Consultants, Inc.</x:v>
      </x:c>
      <x:c r="B13" t="str">
        <x:f>'MASTER_QUEUE'!B192</x:f>
        <x:v>Healthcare IT Consulting</x:v>
      </x:c>
      <x:c r="C13" s="12" t="str">
        <x:f>'MASTER_QUEUE'!C192</x:f>
        <x:v>Not visible</x:v>
      </x:c>
      <x:c r="D13" s="13" t="str">
        <x:f>'MASTER_QUEUE'!D192</x:f>
        <x:v>51-200</x:v>
      </x:c>
      <x:c r="E13" s="7" t="str">
        <x:f>'MASTER_QUEUE'!E192</x:f>
        <x:v>https://www.linkedin.com/company/s-p-consultants-inc</x:v>
      </x:c>
      <x:c r="F13" s="7" t="str">
        <x:f>'MASTER_QUEUE'!F192</x:f>
        <x:v>https://www.spfed.com/</x:v>
      </x:c>
      <x:c r="G13" t="str">
        <x:f>'MASTER_QUEUE'!G192</x:f>
        <x:v>Braintree</x:v>
      </x:c>
      <x:c r="H13" s="8" t="str">
        <x:f>'MASTER_QUEUE'!H192</x:f>
        <x:v>Snov</x:v>
      </x:c>
      <x:c r="I13" s="8" t="str">
        <x:f>'MASTER_QUEUE'!I192</x:f>
        <x:v>Not Started</x:v>
      </x:c>
      <x:c r="J13" s="8" t="str">
        <x:f>'MASTER_QUEUE'!J192</x:f>
        <x:v>MID_TECH_PROFESSIONAL</x:v>
      </x:c>
      <x:c r="K13" s="7" t="str">
        <x:f>'MASTER_QUEUE'!K192</x:f>
        <x:v>People Operations Director &gt; HR Director &gt; L&amp;D Manager &gt; Talent Development Manager &gt; Operations Director &gt; Managing Partner &gt; CEO</x:v>
      </x:c>
    </x:row>
    <x:row r="14" ht="42" customHeight="1">
      <x:c r="A14" t="str">
        <x:f>'MASTER_QUEUE'!A193</x:f>
        <x:v>Scully Signal Company</x:v>
      </x:c>
      <x:c r="B14" t="str">
        <x:f>'MASTER_QUEUE'!B193</x:f>
        <x:v>Industrial Safety Equipment Manufacturing</x:v>
      </x:c>
      <x:c r="C14" s="12" t="str">
        <x:f>'MASTER_QUEUE'!C193</x:f>
        <x:v>Not visible</x:v>
      </x:c>
      <x:c r="D14" s="13" t="str">
        <x:f>'MASTER_QUEUE'!D193</x:f>
        <x:v>51-200</x:v>
      </x:c>
      <x:c r="E14" s="7" t="str">
        <x:f>'MASTER_QUEUE'!E193</x:f>
        <x:v>https://www.linkedin.com/company/scullysignal</x:v>
      </x:c>
      <x:c r="F14" s="7" t="str">
        <x:f>'MASTER_QUEUE'!F193</x:f>
        <x:v>https://scully.com/</x:v>
      </x:c>
      <x:c r="G14" t="str">
        <x:f>'MASTER_QUEUE'!G193</x:f>
        <x:v>Wilmington</x:v>
      </x:c>
      <x:c r="H14" s="8" t="str">
        <x:f>'MASTER_QUEUE'!H193</x:f>
        <x:v>Snov</x:v>
      </x:c>
      <x:c r="I14" s="8" t="str">
        <x:f>'MASTER_QUEUE'!I193</x:f>
        <x:v>Not Started</x:v>
      </x:c>
      <x:c r="J14" s="8" t="str">
        <x:f>'MASTER_QUEUE'!J193</x:f>
        <x:v>MID_MANUFACTURING</x:v>
      </x:c>
      <x:c r="K14" s="7" t="str">
        <x:f>'MASTER_QUEUE'!K193</x:f>
        <x:v>Plant Manager &gt; Operations Director &gt; HR Director &gt; Training Manager &gt; Safety Manager &gt; President &gt; CEO</x:v>
      </x:c>
    </x:row>
    <x:row r="15" ht="42" customHeight="1">
      <x:c r="A15" t="str">
        <x:f>'MASTER_QUEUE'!A194</x:f>
        <x:v>Self Help</x:v>
      </x:c>
      <x:c r="B15" t="str">
        <x:f>'MASTER_QUEUE'!B194</x:f>
        <x:v>Social Services</x:v>
      </x:c>
      <x:c r="C15" s="12" t="n">
        <x:f>'MASTER_QUEUE'!C194</x:f>
        <x:v>64</x:v>
      </x:c>
      <x:c r="D15" s="13" t="str">
        <x:f>'MASTER_QUEUE'!D194</x:f>
        <x:v>201-500</x:v>
      </x:c>
      <x:c r="E15" s="7" t="str">
        <x:f>'MASTER_QUEUE'!E194</x:f>
        <x:v>https://www.linkedin.com/company/self-help-inc.</x:v>
      </x:c>
      <x:c r="F15" s="7" t="str">
        <x:f>'MASTER_QUEUE'!F194</x:f>
        <x:v>https://www.selfhelpinc.org/</x:v>
      </x:c>
      <x:c r="G15" t="str">
        <x:f>'MASTER_QUEUE'!G194</x:f>
        <x:v>Brockton</x:v>
      </x:c>
      <x:c r="H15" s="8" t="str">
        <x:f>'MASTER_QUEUE'!H194</x:f>
        <x:v>Snov</x:v>
      </x:c>
      <x:c r="I15" s="8" t="str">
        <x:f>'MASTER_QUEUE'!I194</x:f>
        <x:v>Not Started</x:v>
      </x:c>
      <x:c r="J15" s="8" t="str">
        <x:f>'MASTER_QUEUE'!J194</x:f>
        <x:v>LARGE_NONPROFIT_SOCIAL</x:v>
      </x:c>
      <x:c r="K15" s="7" t="str">
        <x:f>'MASTER_QUEUE'!K194</x:f>
        <x:v>Workforce Development Director &gt; L&amp;D Director &gt; Training Director &gt; Organizational Development Director &gt; HR Director &gt; COO &gt; Executive Director</x:v>
      </x:c>
    </x:row>
    <x:row r="16" ht="42" customHeight="1">
      <x:c r="A16" t="str">
        <x:f>'MASTER_QUEUE'!A195</x:f>
        <x:v>Shawmut Communications Group</x:v>
      </x:c>
      <x:c r="B16" t="str">
        <x:f>'MASTER_QUEUE'!B195</x:f>
        <x:v>Printing &amp; Marketing Services</x:v>
      </x:c>
      <x:c r="C16" s="12" t="n">
        <x:f>'MASTER_QUEUE'!C195</x:f>
        <x:v>59</x:v>
      </x:c>
      <x:c r="D16" s="13" t="str">
        <x:f>'MASTER_QUEUE'!D195</x:f>
        <x:v>51-200</x:v>
      </x:c>
      <x:c r="E16" s="7" t="str">
        <x:f>'MASTER_QUEUE'!E195</x:f>
        <x:v>https://www.linkedin.com/company/shawmut-communications-group</x:v>
      </x:c>
      <x:c r="F16" s="7" t="str">
        <x:f>'MASTER_QUEUE'!F195</x:f>
        <x:v>https://www.shawmutdelivers.com/</x:v>
      </x:c>
      <x:c r="G16" t="str">
        <x:f>'MASTER_QUEUE'!G195</x:f>
        <x:v>Peabody</x:v>
      </x:c>
      <x:c r="H16" s="8" t="str">
        <x:f>'MASTER_QUEUE'!H195</x:f>
        <x:v>Snov</x:v>
      </x:c>
      <x:c r="I16" s="8" t="str">
        <x:f>'MASTER_QUEUE'!I195</x:f>
        <x:v>Not Started</x:v>
      </x:c>
      <x:c r="J16" s="8" t="str">
        <x:f>'MASTER_QUEUE'!J195</x:f>
        <x:v>MID_MANUFACTURING</x:v>
      </x:c>
      <x:c r="K16" s="7" t="str">
        <x:f>'MASTER_QUEUE'!K195</x:f>
        <x:v>Plant Manager &gt; Operations Director &gt; HR Director &gt; Training Manager &gt; Safety Manager &gt; President &gt; CEO</x:v>
      </x:c>
    </x:row>
    <x:row r="17" ht="42" customHeight="1">
      <x:c r="A17" t="str">
        <x:f>'MASTER_QUEUE'!A196</x:f>
        <x:v>Shepley Wood Products</x:v>
      </x:c>
      <x:c r="B17" t="str">
        <x:f>'MASTER_QUEUE'!B196</x:f>
        <x:v>Building Materials Retail</x:v>
      </x:c>
      <x:c r="C17" s="12" t="n">
        <x:f>'MASTER_QUEUE'!C196</x:f>
        <x:v>76</x:v>
      </x:c>
      <x:c r="D17" s="13" t="str">
        <x:f>'MASTER_QUEUE'!D196</x:f>
        <x:v>1</x:v>
      </x:c>
      <x:c r="E17" s="7" t="str">
        <x:f>'MASTER_QUEUE'!E196</x:f>
        <x:v>https://www.linkedin.com/company/shepley-wood-products</x:v>
      </x:c>
      <x:c r="F17" s="7" t="str">
        <x:f>'MASTER_QUEUE'!F196</x:f>
        <x:v>https://www.shepleywood.com/</x:v>
      </x:c>
      <x:c r="G17" t="str">
        <x:f>'MASTER_QUEUE'!G196</x:f>
        <x:v>Hyannis</x:v>
      </x:c>
      <x:c r="H17" s="8" t="str">
        <x:f>'MASTER_QUEUE'!H196</x:f>
        <x:v>Snov</x:v>
      </x:c>
      <x:c r="I17" s="8" t="str">
        <x:f>'MASTER_QUEUE'!I196</x:f>
        <x:v>Not Started</x:v>
      </x:c>
      <x:c r="J17" s="8" t="str">
        <x:f>'MASTER_QUEUE'!J196</x:f>
        <x:v>MID_CONSTRUCTION_TRADES</x:v>
      </x:c>
      <x:c r="K17" s="7" t="str">
        <x:f>'MASTER_QUEUE'!K196</x:f>
        <x:v>Operations Director &gt; Safety Director &gt; Safety Manager &gt; Training Manager &gt; HR Director &gt; HR Manager &gt; President &gt; CEO</x:v>
      </x:c>
    </x:row>
    <x:row r="18" ht="42" customHeight="1">
      <x:c r="A18" t="str">
        <x:f>'MASTER_QUEUE'!A197</x:f>
        <x:v>Sika Corporation</x:v>
      </x:c>
      <x:c r="B18" t="str">
        <x:f>'MASTER_QUEUE'!B197</x:f>
        <x:v>Chemical Manufacturing</x:v>
      </x:c>
      <x:c r="C18" s="12" t="n">
        <x:f>'MASTER_QUEUE'!C197</x:f>
        <x:v>19853</x:v>
      </x:c>
      <x:c r="D18" s="13" t="str">
        <x:f>'MASTER_QUEUE'!D197</x:f>
        <x:v>10,001+</x:v>
      </x:c>
      <x:c r="E18" s="7" t="str">
        <x:f>'MASTER_QUEUE'!E197</x:f>
        <x:v>https://www.linkedin.com/company/sika</x:v>
      </x:c>
      <x:c r="F18" s="7" t="str">
        <x:f>'MASTER_QUEUE'!F197</x:f>
        <x:v>https://usa.sika.com/</x:v>
      </x:c>
      <x:c r="G18" t="str">
        <x:f>'MASTER_QUEUE'!G197</x:f>
        <x:v>Canton</x:v>
      </x:c>
      <x:c r="H18" s="8" t="str">
        <x:f>'MASTER_QUEUE'!H197</x:f>
        <x:v>Snov</x:v>
      </x:c>
      <x:c r="I18" s="8" t="str">
        <x:f>'MASTER_QUEUE'!I197</x:f>
        <x:v>Not Started</x:v>
      </x:c>
      <x:c r="J18" s="8" t="str">
        <x:f>'MASTER_QUEUE'!J197</x:f>
        <x:v>ENTERPRISE_MANUFACTURING</x:v>
      </x:c>
      <x:c r="K18" s="7" t="str">
        <x:f>'MASTER_QUEUE'!K197</x:f>
        <x:v>Plant Manager &gt; Training Director &gt; L&amp;D Director &gt; Workforce Development Director &gt; Operations Director &gt; HR Director &gt; VP of HR</x:v>
      </x:c>
    </x:row>
    <x:row r="19" ht="42" customHeight="1">
      <x:c r="A19" t="str">
        <x:f>'MASTER_QUEUE'!A198</x:f>
        <x:v>Sloan</x:v>
      </x:c>
      <x:c r="B19" t="str">
        <x:f>'MASTER_QUEUE'!B198</x:f>
        <x:v>Plumbing Equipment Manufacturing</x:v>
      </x:c>
      <x:c r="C19" s="12" t="n">
        <x:f>'MASTER_QUEUE'!C198</x:f>
        <x:v>633</x:v>
      </x:c>
      <x:c r="D19" s="13" t="str">
        <x:f>'MASTER_QUEUE'!D198</x:f>
        <x:v>1,001-5,000</x:v>
      </x:c>
      <x:c r="E19" s="7" t="str">
        <x:f>'MASTER_QUEUE'!E198</x:f>
        <x:v>https://www.linkedin.com/company/sloan-valve-company</x:v>
      </x:c>
      <x:c r="F19" s="7" t="str">
        <x:f>'MASTER_QUEUE'!F198</x:f>
        <x:v>https://www.sloan.com/</x:v>
      </x:c>
      <x:c r="G19" t="str">
        <x:f>'MASTER_QUEUE'!G198</x:f>
        <x:v>Andover</x:v>
      </x:c>
      <x:c r="H19" s="8" t="str">
        <x:f>'MASTER_QUEUE'!H198</x:f>
        <x:v>Snov</x:v>
      </x:c>
      <x:c r="I19" s="8" t="str">
        <x:f>'MASTER_QUEUE'!I198</x:f>
        <x:v>Not Started</x:v>
      </x:c>
      <x:c r="J19" s="8" t="str">
        <x:f>'MASTER_QUEUE'!J198</x:f>
        <x:v>ENTERPRISE_MANUFACTURING</x:v>
      </x:c>
      <x:c r="K19" s="7" t="str">
        <x:f>'MASTER_QUEUE'!K198</x:f>
        <x:v>Plant Manager &gt; Training Director &gt; L&amp;D Director &gt; Workforce Development Director &gt; Operations Director &gt; HR Director &gt; VP of HR</x:v>
      </x:c>
    </x:row>
    <x:row r="20" ht="42" customHeight="1">
      <x:c r="A20" t="str">
        <x:f>'MASTER_QUEUE'!A199</x:f>
        <x:v>SMC</x:v>
      </x:c>
      <x:c r="B20" t="str">
        <x:f>'MASTER_QUEUE'!B199</x:f>
        <x:v>Medical Device Contract Manufacturing</x:v>
      </x:c>
      <x:c r="C20" s="12" t="n">
        <x:f>'MASTER_QUEUE'!C199</x:f>
        <x:v>1800</x:v>
      </x:c>
      <x:c r="D20" s="13" t="str">
        <x:f>'MASTER_QUEUE'!D199</x:f>
        <x:v>501-1,000</x:v>
      </x:c>
      <x:c r="E20" s="7" t="str">
        <x:f>'MASTER_QUEUE'!E199</x:f>
        <x:v>https://www.linkedin.com/company/smc-ltd</x:v>
      </x:c>
      <x:c r="F20" s="7" t="str">
        <x:f>'MASTER_QUEUE'!F199</x:f>
        <x:v>https://www.smcltd.com/</x:v>
      </x:c>
      <x:c r="G20" t="str">
        <x:f>'MASTER_QUEUE'!G199</x:f>
        <x:v>Devens</x:v>
      </x:c>
      <x:c r="H20" s="8" t="str">
        <x:f>'MASTER_QUEUE'!H199</x:f>
        <x:v>Snov</x:v>
      </x:c>
      <x:c r="I20" s="8" t="str">
        <x:f>'MASTER_QUEUE'!I199</x:f>
        <x:v>Not Started</x:v>
      </x:c>
      <x:c r="J20" s="8" t="str">
        <x:f>'MASTER_QUEUE'!J199</x:f>
        <x:v>ENTERPRISE_MANUFACTURING</x:v>
      </x:c>
      <x:c r="K20" s="7" t="str">
        <x:f>'MASTER_QUEUE'!K199</x:f>
        <x:v>Plant Manager &gt; Training Director &gt; L&amp;D Director &gt; Workforce Development Director &gt; Operations Director &gt; HR Director &gt; VP of HR</x:v>
      </x:c>
    </x:row>
    <x:row r="21" ht="42" customHeight="1">
      <x:c r="A21" t="str">
        <x:f>'MASTER_QUEUE'!A200</x:f>
        <x:v>Spectrum Lighting</x:v>
      </x:c>
      <x:c r="B21" t="str">
        <x:f>'MASTER_QUEUE'!B200</x:f>
        <x:v>Lighting Manufacturing</x:v>
      </x:c>
      <x:c r="C21" s="12" t="str">
        <x:f>'MASTER_QUEUE'!C200</x:f>
        <x:v>Not visible</x:v>
      </x:c>
      <x:c r="D21" s="13" t="str">
        <x:f>'MASTER_QUEUE'!D200</x:f>
        <x:v>201-500</x:v>
      </x:c>
      <x:c r="E21" s="7" t="str">
        <x:f>'MASTER_QUEUE'!E200</x:f>
        <x:v>https://www.linkedin.com/company/spectrum-lighting-inc.</x:v>
      </x:c>
      <x:c r="F21" s="7" t="str">
        <x:f>'MASTER_QUEUE'!F200</x:f>
        <x:v>https://www.speclight.com/</x:v>
      </x:c>
      <x:c r="G21" t="str">
        <x:f>'MASTER_QUEUE'!G200</x:f>
        <x:v>Fall River</x:v>
      </x:c>
      <x:c r="H21" s="8" t="str">
        <x:f>'MASTER_QUEUE'!H200</x:f>
        <x:v>Snov</x:v>
      </x:c>
      <x:c r="I21" s="8" t="str">
        <x:f>'MASTER_QUEUE'!I200</x:f>
        <x:v>Not Started</x:v>
      </x:c>
      <x:c r="J21" s="8" t="str">
        <x:f>'MASTER_QUEUE'!J200</x:f>
        <x:v>LARGE_MANUFACTURING</x:v>
      </x:c>
      <x:c r="K21" s="7" t="str">
        <x:f>'MASTER_QUEUE'!K200</x:f>
        <x:v>Plant Manager &gt; Operations Director &gt; Training Director &gt; L&amp;D Director &gt; HR Director &gt; Safety Director &gt; VP of Operations</x:v>
      </x:c>
    </x:row>
    <x:row r="22" ht="42" customHeight="1">
      <x:c r="A22" t="str">
        <x:f>'MASTER_QUEUE'!A201</x:f>
        <x:v>Standard Modern Company</x:v>
      </x:c>
      <x:c r="B22" t="str">
        <x:f>'MASTER_QUEUE'!B201</x:f>
        <x:v>Printing Services</x:v>
      </x:c>
      <x:c r="C22" s="12" t="str">
        <x:f>'MASTER_QUEUE'!C201</x:f>
        <x:v>Not visible</x:v>
      </x:c>
      <x:c r="D22" s="13" t="str">
        <x:f>'MASTER_QUEUE'!D201</x:f>
        <x:v>51-200</x:v>
      </x:c>
      <x:c r="E22" s="7" t="str">
        <x:f>'MASTER_QUEUE'!E201</x:f>
        <x:v>https://www.linkedin.com/company/standard-modern-company</x:v>
      </x:c>
      <x:c r="F22" s="7" t="str">
        <x:f>'MASTER_QUEUE'!F201</x:f>
        <x:v>https://www.standardmodern.com/</x:v>
      </x:c>
      <x:c r="G22" t="str">
        <x:f>'MASTER_QUEUE'!G201</x:f>
        <x:v>New Bedford</x:v>
      </x:c>
      <x:c r="H22" s="8" t="str">
        <x:f>'MASTER_QUEUE'!H201</x:f>
        <x:v>Snov</x:v>
      </x:c>
      <x:c r="I22" s="8" t="str">
        <x:f>'MASTER_QUEUE'!I201</x:f>
        <x:v>Not Started</x:v>
      </x:c>
      <x:c r="J22" s="8" t="str">
        <x:f>'MASTER_QUEUE'!J201</x:f>
        <x:v>MID_MANUFACTURING</x:v>
      </x:c>
      <x:c r="K22" s="7" t="str">
        <x:f>'MASTER_QUEUE'!K201</x:f>
        <x:v>Plant Manager &gt; Operations Director &gt; HR Director &gt; Training Manager &gt; Safety Manager &gt; President &gt; CEO</x:v>
      </x:c>
    </x:row>
    <x:row r="23" ht="42" customHeight="1">
      <x:c r="A23" t="str">
        <x:f>'MASTER_QUEUE'!A202</x:f>
        <x:v>Stewart Painting</x:v>
      </x:c>
      <x:c r="B23" t="str">
        <x:f>'MASTER_QUEUE'!B202</x:f>
        <x:v>Painting Services</x:v>
      </x:c>
      <x:c r="C23" s="12" t="n">
        <x:f>'MASTER_QUEUE'!C202</x:f>
        <x:v>23</x:v>
      </x:c>
      <x:c r="D23" s="13" t="str">
        <x:f>'MASTER_QUEUE'!D202</x:f>
        <x:v>51-200</x:v>
      </x:c>
      <x:c r="E23" s="7" t="str">
        <x:f>'MASTER_QUEUE'!E202</x:f>
        <x:v>https://www.linkedin.com/company/stewart-painting-inc</x:v>
      </x:c>
      <x:c r="F23" s="7" t="str">
        <x:f>'MASTER_QUEUE'!F202</x:f>
        <x:v>https://stewartpaint.com/</x:v>
      </x:c>
      <x:c r="G23" t="str">
        <x:f>'MASTER_QUEUE'!G202</x:f>
        <x:v>Hyannis</x:v>
      </x:c>
      <x:c r="H23" s="8" t="str">
        <x:f>'MASTER_QUEUE'!H202</x:f>
        <x:v>Snov</x:v>
      </x:c>
      <x:c r="I23" s="8" t="str">
        <x:f>'MASTER_QUEUE'!I202</x:f>
        <x:v>Not Started</x:v>
      </x:c>
      <x:c r="J23" s="8" t="str">
        <x:f>'MASTER_QUEUE'!J202</x:f>
        <x:v>MID_CONSTRUCTION_TRADES</x:v>
      </x:c>
      <x:c r="K23" s="7" t="str">
        <x:f>'MASTER_QUEUE'!K202</x:f>
        <x:v>Operations Director &gt; Safety Director &gt; Safety Manager &gt; Training Manager &gt; HR Director &gt; HR Manager &gt; President &gt; CEO</x:v>
      </x:c>
    </x:row>
    <x:row r="24" ht="42" customHeight="1">
      <x:c r="A24" t="str">
        <x:f>'MASTER_QUEUE'!A203</x:f>
        <x:v>Studio Enee</x:v>
      </x:c>
      <x:c r="B24" t="str">
        <x:f>'MASTER_QUEUE'!B203</x:f>
        <x:v>Architecture &amp; Planning</x:v>
      </x:c>
      <x:c r="C24" s="12" t="str">
        <x:f>'MASTER_QUEUE'!C203</x:f>
        <x:v>Not visible</x:v>
      </x:c>
      <x:c r="D24" s="13" t="str">
        <x:f>'MASTER_QUEUE'!D203</x:f>
        <x:v>11-50</x:v>
      </x:c>
      <x:c r="E24" s="7" t="str">
        <x:f>'MASTER_QUEUE'!E203</x:f>
        <x:v>https://www.linkedin.com/company/studioen%C3%A9earchitects</x:v>
      </x:c>
      <x:c r="F24" s="7" t="str">
        <x:f>'MASTER_QUEUE'!F203</x:f>
        <x:v>https://www.studioenee.com/</x:v>
      </x:c>
      <x:c r="G24" t="str">
        <x:f>'MASTER_QUEUE'!G203</x:f>
        <x:v>Boston</x:v>
      </x:c>
      <x:c r="H24" s="8" t="str">
        <x:f>'MASTER_QUEUE'!H203</x:f>
        <x:v>Snov</x:v>
      </x:c>
      <x:c r="I24" s="8" t="str">
        <x:f>'MASTER_QUEUE'!I203</x:f>
        <x:v>Not Started</x:v>
      </x:c>
      <x:c r="J24" s="8" t="str">
        <x:f>'MASTER_QUEUE'!J203</x:f>
        <x:v>SMALL_TECH_PROFESSIONAL</x:v>
      </x:c>
      <x:c r="K24" s="7" t="str">
        <x:f>'MASTER_QUEUE'!K203</x:f>
        <x:v>Owner &gt; Founder &gt; Co-Founder &gt; President &gt; CEO &gt; Managing Partner &gt; COO &gt; People Operations Manager &gt; HR Manager</x:v>
      </x:c>
    </x:row>
    <x:row r="25" ht="42" customHeight="1">
      <x:c r="A25" t="str">
        <x:f>'MASTER_QUEUE'!A204</x:f>
        <x:v>Supreme Food Inc</x:v>
      </x:c>
      <x:c r="B25" t="str">
        <x:f>'MASTER_QUEUE'!B204</x:f>
        <x:v>Grocery Retail</x:v>
      </x:c>
      <x:c r="C25" s="12" t="str">
        <x:f>'MASTER_QUEUE'!C204</x:f>
        <x:v>Not visible</x:v>
      </x:c>
      <x:c r="D25" s="13" t="str">
        <x:f>'MASTER_QUEUE'!D204</x:f>
        <x:v>Not visible</x:v>
      </x:c>
      <x:c r="E25" s="7" t="str">
        <x:f>'MASTER_QUEUE'!E204</x:f>
        <x:v>Not verified</x:v>
      </x:c>
      <x:c r="F25" s="7" t="str">
        <x:f>'MASTER_QUEUE'!F204</x:f>
        <x:v>https://www.afbasket.com/</x:v>
      </x:c>
      <x:c r="G25" t="str">
        <x:f>'MASTER_QUEUE'!G204</x:f>
        <x:v>Lynn</x:v>
      </x:c>
      <x:c r="H25" s="8" t="str">
        <x:f>'MASTER_QUEUE'!H204</x:f>
        <x:v>Snov</x:v>
      </x:c>
      <x:c r="I25" s="8" t="str">
        <x:f>'MASTER_QUEUE'!I204</x:f>
        <x:v>Not Started</x:v>
      </x:c>
      <x:c r="J25" s="8" t="str">
        <x:f>'MASTER_QUEUE'!J204</x:f>
        <x:v>UNKNOWN_HOSPITALITY_RETAIL</x:v>
      </x:c>
      <x:c r="K25" s="7" t="str">
        <x:f>'MASTER_QUEUE'!K204</x:f>
        <x:v>Owner &gt; President &gt; CEO &gt; General Manager &gt; Operations Director &gt; Training Manager &gt; HR Director</x:v>
      </x:c>
    </x:row>
    <x:row r="26" ht="42" customHeight="1">
      <x:c r="A26" t="str">
        <x:f>'MASTER_QUEUE'!A205</x:f>
        <x:v>Swissturn USA</x:v>
      </x:c>
      <x:c r="B26" t="str">
        <x:f>'MASTER_QUEUE'!B205</x:f>
        <x:v>Precision Manufacturing</x:v>
      </x:c>
      <x:c r="C26" s="12" t="n">
        <x:f>'MASTER_QUEUE'!C205</x:f>
        <x:v>25</x:v>
      </x:c>
      <x:c r="D26" s="13" t="str">
        <x:f>'MASTER_QUEUE'!D205</x:f>
        <x:v>51-200</x:v>
      </x:c>
      <x:c r="E26" s="7" t="str">
        <x:f>'MASTER_QUEUE'!E205</x:f>
        <x:v>https://www.linkedin.com/company/swissturn-usa-inc-</x:v>
      </x:c>
      <x:c r="F26" s="7" t="str">
        <x:f>'MASTER_QUEUE'!F205</x:f>
        <x:v>https://www.swissturn.com/</x:v>
      </x:c>
      <x:c r="G26" t="str">
        <x:f>'MASTER_QUEUE'!G205</x:f>
        <x:v>Oxford</x:v>
      </x:c>
      <x:c r="H26" s="8" t="str">
        <x:f>'MASTER_QUEUE'!H205</x:f>
        <x:v>Snov</x:v>
      </x:c>
      <x:c r="I26" s="8" t="str">
        <x:f>'MASTER_QUEUE'!I205</x:f>
        <x:v>Not Started</x:v>
      </x:c>
      <x:c r="J26" s="8" t="str">
        <x:f>'MASTER_QUEUE'!J205</x:f>
        <x:v>MID_MANUFACTURING</x:v>
      </x:c>
      <x:c r="K26" s="7" t="str">
        <x:f>'MASTER_QUEUE'!K205</x:f>
        <x:v>Plant Manager &gt; Operations Director &gt; HR Director &gt; Training Manager &gt; Safety Manager &gt; President &gt; CEO</x:v>
      </x:c>
    </x:row>
    <x:row r="27" ht="42" customHeight="1">
      <x:c r="A27" t="str">
        <x:f>'MASTER_QUEUE'!A206</x:f>
        <x:v>Temptronic Corporation</x:v>
      </x:c>
      <x:c r="B27" t="str">
        <x:f>'MASTER_QUEUE'!B206</x:f>
        <x:v>Thermal Test Equipment Manufacturing</x:v>
      </x:c>
      <x:c r="C27" s="12" t="n">
        <x:f>'MASTER_QUEUE'!C206</x:f>
        <x:v>56</x:v>
      </x:c>
      <x:c r="D27" s="13" t="str">
        <x:f>'MASTER_QUEUE'!D206</x:f>
        <x:v>51-200</x:v>
      </x:c>
      <x:c r="E27" s="7" t="str">
        <x:f>'MASTER_QUEUE'!E206</x:f>
        <x:v>https://www.linkedin.com/company/intest-thermal-solutions</x:v>
      </x:c>
      <x:c r="F27" s="7" t="str">
        <x:f>'MASTER_QUEUE'!F206</x:f>
        <x:v>https://www.intestthermal.com/</x:v>
      </x:c>
      <x:c r="G27" t="str">
        <x:f>'MASTER_QUEUE'!G206</x:f>
        <x:v>Mansfield</x:v>
      </x:c>
      <x:c r="H27" s="8" t="str">
        <x:f>'MASTER_QUEUE'!H206</x:f>
        <x:v>Snov</x:v>
      </x:c>
      <x:c r="I27" s="8" t="str">
        <x:f>'MASTER_QUEUE'!I206</x:f>
        <x:v>Not Started</x:v>
      </x:c>
      <x:c r="J27" s="8" t="str">
        <x:f>'MASTER_QUEUE'!J206</x:f>
        <x:v>MID_MANUFACTURING</x:v>
      </x:c>
      <x:c r="K27" s="7" t="str">
        <x:f>'MASTER_QUEUE'!K206</x:f>
        <x:v>Plant Manager &gt; Operations Director &gt; HR Director &gt; Training Manager &gt; Safety Manager &gt; President &gt; CEO</x:v>
      </x:c>
    </x:row>
    <x:row r="28" ht="42" customHeight="1">
      <x:c r="A28" t="str">
        <x:f>'MASTER_QUEUE'!A207</x:f>
        <x:v>Terumo Cardiovascular Systems Corp</x:v>
      </x:c>
      <x:c r="B28" t="str">
        <x:f>'MASTER_QUEUE'!B207</x:f>
        <x:v>Medical Device Manufacturing</x:v>
      </x:c>
      <x:c r="C28" s="12" t="n">
        <x:f>'MASTER_QUEUE'!C207</x:f>
        <x:v>653</x:v>
      </x:c>
      <x:c r="D28" s="13" t="str">
        <x:f>'MASTER_QUEUE'!D207</x:f>
        <x:v>10,001+</x:v>
      </x:c>
      <x:c r="E28" s="7" t="str">
        <x:f>'MASTER_QUEUE'!E207</x:f>
        <x:v>https://www.linkedin.com/company/terumo-global</x:v>
      </x:c>
      <x:c r="F28" s="7" t="str">
        <x:f>'MASTER_QUEUE'!F207</x:f>
        <x:v>https://www.terumo.com/</x:v>
      </x:c>
      <x:c r="G28" t="str">
        <x:f>'MASTER_QUEUE'!G207</x:f>
        <x:v>Ashland</x:v>
      </x:c>
      <x:c r="H28" s="8" t="str">
        <x:f>'MASTER_QUEUE'!H207</x:f>
        <x:v>Snov</x:v>
      </x:c>
      <x:c r="I28" s="8" t="str">
        <x:f>'MASTER_QUEUE'!I207</x:f>
        <x:v>Not Started</x:v>
      </x:c>
      <x:c r="J28" s="8" t="str">
        <x:f>'MASTER_QUEUE'!J207</x:f>
        <x:v>ENTERPRISE_MANUFACTURING</x:v>
      </x:c>
      <x:c r="K28" s="7" t="str">
        <x:f>'MASTER_QUEUE'!K207</x:f>
        <x:v>Plant Manager &gt; Training Director &gt; L&amp;D Director &gt; Workforce Development Director &gt; Operations Director &gt; HR Director &gt; VP of HR</x:v>
      </x:c>
    </x:row>
    <x:row r="29" ht="42" customHeight="1">
      <x:c r="A29" t="str">
        <x:f>'MASTER_QUEUE'!A208</x:f>
        <x:v>Textron Systems</x:v>
      </x:c>
      <x:c r="B29" t="str">
        <x:f>'MASTER_QUEUE'!B208</x:f>
        <x:v>Defense &amp; Space Manufacturing</x:v>
      </x:c>
      <x:c r="C29" s="12" t="n">
        <x:f>'MASTER_QUEUE'!C208</x:f>
        <x:v>2097</x:v>
      </x:c>
      <x:c r="D29" s="13" t="str">
        <x:f>'MASTER_QUEUE'!D208</x:f>
        <x:v>1,001-5,000</x:v>
      </x:c>
      <x:c r="E29" s="7" t="str">
        <x:f>'MASTER_QUEUE'!E208</x:f>
        <x:v>https://www.linkedin.com/company/textron-systems</x:v>
      </x:c>
      <x:c r="F29" s="7" t="str">
        <x:f>'MASTER_QUEUE'!F208</x:f>
        <x:v>https://www.textronsystems.com/</x:v>
      </x:c>
      <x:c r="G29" t="str">
        <x:f>'MASTER_QUEUE'!G208</x:f>
        <x:v>Wilmington</x:v>
      </x:c>
      <x:c r="H29" s="8" t="str">
        <x:f>'MASTER_QUEUE'!H208</x:f>
        <x:v>Snov</x:v>
      </x:c>
      <x:c r="I29" s="8" t="str">
        <x:f>'MASTER_QUEUE'!I208</x:f>
        <x:v>Not Started</x:v>
      </x:c>
      <x:c r="J29" s="8" t="str">
        <x:f>'MASTER_QUEUE'!J208</x:f>
        <x:v>ENTERPRISE_MANUFACTURING</x:v>
      </x:c>
      <x:c r="K29" s="7" t="str">
        <x:f>'MASTER_QUEUE'!K208</x:f>
        <x:v>Plant Manager &gt; Training Director &gt; L&amp;D Director &gt; Workforce Development Director &gt; Operations Director &gt; HR Director &gt; VP of HR</x:v>
      </x:c>
    </x:row>
    <x:row r="30" ht="42" customHeight="1">
      <x:c r="A30" t="str">
        <x:f>'MASTER_QUEUE'!A209</x:f>
        <x:v>The Fenway Group</x:v>
      </x:c>
      <x:c r="B30" t="str">
        <x:f>'MASTER_QUEUE'!B209</x:f>
        <x:v>Advertising &amp; Marketing Services</x:v>
      </x:c>
      <x:c r="C30" s="12" t="n">
        <x:f>'MASTER_QUEUE'!C209</x:f>
        <x:v>14</x:v>
      </x:c>
      <x:c r="D30" s="13" t="str">
        <x:f>'MASTER_QUEUE'!D209</x:f>
        <x:v>51-200</x:v>
      </x:c>
      <x:c r="E30" s="7" t="str">
        <x:f>'MASTER_QUEUE'!E209</x:f>
        <x:v>https://www.linkedin.com/company/fenwaygroup</x:v>
      </x:c>
      <x:c r="F30" s="7" t="str">
        <x:f>'MASTER_QUEUE'!F209</x:f>
        <x:v>http://www.fenway-group.com/</x:v>
      </x:c>
      <x:c r="G30" t="str">
        <x:f>'MASTER_QUEUE'!G209</x:f>
        <x:v>Boston</x:v>
      </x:c>
      <x:c r="H30" s="8" t="str">
        <x:f>'MASTER_QUEUE'!H209</x:f>
        <x:v>Snov</x:v>
      </x:c>
      <x:c r="I30" s="8" t="str">
        <x:f>'MASTER_QUEUE'!I209</x:f>
        <x:v>Not Started</x:v>
      </x:c>
      <x:c r="J30" s="8" t="str">
        <x:f>'MASTER_QUEUE'!J209</x:f>
        <x:v>MID_TECH_PROFESSIONAL</x:v>
      </x:c>
      <x:c r="K30" s="7" t="str">
        <x:f>'MASTER_QUEUE'!K209</x:f>
        <x:v>People Operations Director &gt; HR Director &gt; L&amp;D Manager &gt; Talent Development Manager &gt; Operations Director &gt; Managing Partner &gt; CEO</x:v>
      </x:c>
    </x:row>
    <x:row r="31" ht="42" customHeight="1">
      <x:c r="A31" t="str">
        <x:f>'MASTER_QUEUE'!A210</x:f>
        <x:v>The Haynes Group</x:v>
      </x:c>
      <x:c r="B31" t="str">
        <x:f>'MASTER_QUEUE'!B210</x:f>
        <x:v>Construction</x:v>
      </x:c>
      <x:c r="C31" s="12" t="n">
        <x:f>'MASTER_QUEUE'!C210</x:f>
        <x:v>80</x:v>
      </x:c>
      <x:c r="D31" s="13" t="str">
        <x:f>'MASTER_QUEUE'!D210</x:f>
        <x:v>51-200</x:v>
      </x:c>
      <x:c r="E31" s="7" t="str">
        <x:f>'MASTER_QUEUE'!E210</x:f>
        <x:v>https://www.linkedin.com/company/haynes-capital</x:v>
      </x:c>
      <x:c r="F31" s="7" t="str">
        <x:f>'MASTER_QUEUE'!F210</x:f>
        <x:v>https://haynesgroupinc.com/</x:v>
      </x:c>
      <x:c r="G31" t="str">
        <x:f>'MASTER_QUEUE'!G210</x:f>
        <x:v>West Bridgewater</x:v>
      </x:c>
      <x:c r="H31" s="8" t="str">
        <x:f>'MASTER_QUEUE'!H210</x:f>
        <x:v>Snov</x:v>
      </x:c>
      <x:c r="I31" s="8" t="str">
        <x:f>'MASTER_QUEUE'!I210</x:f>
        <x:v>Not Started</x:v>
      </x:c>
      <x:c r="J31" s="8" t="str">
        <x:f>'MASTER_QUEUE'!J210</x:f>
        <x:v>MID_CONSTRUCTION_TRADES</x:v>
      </x:c>
      <x:c r="K31" s="7" t="str">
        <x:f>'MASTER_QUEUE'!K210</x:f>
        <x:v>Operations Director &gt; Safety Director &gt; Safety Manager &gt; Training Manager &gt; HR Director &gt; HR Manager &gt; President &gt; CEO</x:v>
      </x:c>
    </x:row>
    <x:row r="32" ht="42" customHeight="1">
      <x:c r="A32" t="str">
        <x:f>'MASTER_QUEUE'!A211</x:f>
        <x:v>TotalOffice Interiors</x:v>
      </x:c>
      <x:c r="B32" t="str">
        <x:f>'MASTER_QUEUE'!B211</x:f>
        <x:v>Office Furniture &amp; Workplace Design</x:v>
      </x:c>
      <x:c r="C32" s="12" t="str">
        <x:f>'MASTER_QUEUE'!C211</x:f>
        <x:v>Not visible</x:v>
      </x:c>
      <x:c r="D32" s="13" t="str">
        <x:f>'MASTER_QUEUE'!D211</x:f>
        <x:v>11-50</x:v>
      </x:c>
      <x:c r="E32" s="7" t="str">
        <x:f>'MASTER_QUEUE'!E211</x:f>
        <x:v>https://www.linkedin.com/company/total-office</x:v>
      </x:c>
      <x:c r="F32" s="7" t="str">
        <x:f>'MASTER_QUEUE'!F211</x:f>
        <x:v>https://www.toi-inc.com/</x:v>
      </x:c>
      <x:c r="G32" t="str">
        <x:f>'MASTER_QUEUE'!G211</x:f>
        <x:v>Boston</x:v>
      </x:c>
      <x:c r="H32" s="8" t="str">
        <x:f>'MASTER_QUEUE'!H211</x:f>
        <x:v>Snov</x:v>
      </x:c>
      <x:c r="I32" s="8" t="str">
        <x:f>'MASTER_QUEUE'!I211</x:f>
        <x:v>Not Started</x:v>
      </x:c>
      <x:c r="J32" s="8" t="str">
        <x:f>'MASTER_QUEUE'!J211</x:f>
        <x:v>SMALL_REAL_ESTATE_FACILITIES</x:v>
      </x:c>
      <x:c r="K32" s="7" t="str">
        <x:f>'MASTER_QUEUE'!K211</x:f>
        <x:v>Owner &gt; Founder &gt; Co-Founder &gt; President &gt; CEO &gt; Property Manager &gt; Facilities Manager &gt; Operations Manager &gt; HR Manager</x:v>
      </x:c>
    </x:row>
    <x:row r="33" ht="42" customHeight="1">
      <x:c r="A33" t="str">
        <x:f>'MASTER_QUEUE'!A212</x:f>
        <x:v>Trelleborg Sealing Solutions US</x:v>
      </x:c>
      <x:c r="B33" t="str">
        <x:f>'MASTER_QUEUE'!B212</x:f>
        <x:v>Rubber Products Manufacturing</x:v>
      </x:c>
      <x:c r="C33" s="12" t="n">
        <x:f>'MASTER_QUEUE'!C212</x:f>
        <x:v>3939</x:v>
      </x:c>
      <x:c r="D33" s="13" t="str">
        <x:f>'MASTER_QUEUE'!D212</x:f>
        <x:v>5,001-10,000</x:v>
      </x:c>
      <x:c r="E33" s="7" t="str">
        <x:f>'MASTER_QUEUE'!E212</x:f>
        <x:v>https://www.linkedin.com/company/trelleborg-sealing-solutions</x:v>
      </x:c>
      <x:c r="F33" s="7" t="str">
        <x:f>'MASTER_QUEUE'!F212</x:f>
        <x:v>https://www.trelleborg.com/en/seals</x:v>
      </x:c>
      <x:c r="G33" t="str">
        <x:f>'MASTER_QUEUE'!G212</x:f>
        <x:v>Northborough</x:v>
      </x:c>
      <x:c r="H33" s="8" t="str">
        <x:f>'MASTER_QUEUE'!H212</x:f>
        <x:v>Snov</x:v>
      </x:c>
      <x:c r="I33" s="8" t="str">
        <x:f>'MASTER_QUEUE'!I212</x:f>
        <x:v>Not Started</x:v>
      </x:c>
      <x:c r="J33" s="8" t="str">
        <x:f>'MASTER_QUEUE'!J212</x:f>
        <x:v>ENTERPRISE_MANUFACTURING</x:v>
      </x:c>
      <x:c r="K33" s="7" t="str">
        <x:f>'MASTER_QUEUE'!K212</x:f>
        <x:v>Plant Manager &gt; Training Director &gt; L&amp;D Director &gt; Workforce Development Director &gt; Operations Director &gt; HR Director &gt; VP of HR</x:v>
      </x:c>
    </x:row>
    <x:row r="34" ht="42" customHeight="1">
      <x:c r="A34" t="str">
        <x:f>'MASTER_QUEUE'!A213</x:f>
        <x:v>Ulta Home Improvements</x:v>
      </x:c>
      <x:c r="B34" t="str">
        <x:f>'MASTER_QUEUE'!B213</x:f>
        <x:v>Home Improvement &amp; Construction</x:v>
      </x:c>
      <x:c r="C34" s="12" t="str">
        <x:f>'MASTER_QUEUE'!C213</x:f>
        <x:v>Not visible</x:v>
      </x:c>
      <x:c r="D34" s="13" t="str">
        <x:f>'MASTER_QUEUE'!D213</x:f>
        <x:v>Not visible</x:v>
      </x:c>
      <x:c r="E34" s="7" t="str">
        <x:f>'MASTER_QUEUE'!E213</x:f>
        <x:v>Not verified</x:v>
      </x:c>
      <x:c r="F34" s="7" t="str">
        <x:f>'MASTER_QUEUE'!F213</x:f>
        <x:v>https://ultahome.com/</x:v>
      </x:c>
      <x:c r="G34" t="str">
        <x:f>'MASTER_QUEUE'!G213</x:f>
        <x:v>Ashland</x:v>
      </x:c>
      <x:c r="H34" s="8" t="str">
        <x:f>'MASTER_QUEUE'!H213</x:f>
        <x:v>Snov</x:v>
      </x:c>
      <x:c r="I34" s="8" t="str">
        <x:f>'MASTER_QUEUE'!I213</x:f>
        <x:v>Not Started</x:v>
      </x:c>
      <x:c r="J34" s="8" t="str">
        <x:f>'MASTER_QUEUE'!J213</x:f>
        <x:v>UNKNOWN_CONSTRUCTION_TRADES</x:v>
      </x:c>
      <x:c r="K34" s="7" t="str">
        <x:f>'MASTER_QUEUE'!K213</x:f>
        <x:v>Owner &gt; President &gt; CEO &gt; Operations Director &gt; Safety Manager &gt; Training Manager &gt; HR Director</x:v>
      </x:c>
    </x:row>
    <x:row r="35" ht="42" customHeight="1">
      <x:c r="A35" t="str">
        <x:f>'MASTER_QUEUE'!A214</x:f>
        <x:v>UNICOM Engineering</x:v>
      </x:c>
      <x:c r="B35" t="str">
        <x:f>'MASTER_QUEUE'!B214</x:f>
        <x:v>Computer Hardware Manufacturing</x:v>
      </x:c>
      <x:c r="C35" s="12" t="n">
        <x:f>'MASTER_QUEUE'!C214</x:f>
        <x:v>346</x:v>
      </x:c>
      <x:c r="D35" s="13" t="str">
        <x:f>'MASTER_QUEUE'!D214</x:f>
        <x:v>201-500</x:v>
      </x:c>
      <x:c r="E35" s="7" t="str">
        <x:f>'MASTER_QUEUE'!E214</x:f>
        <x:v>https://www.linkedin.com/company/unicomengineering</x:v>
      </x:c>
      <x:c r="F35" s="7" t="str">
        <x:f>'MASTER_QUEUE'!F214</x:f>
        <x:v>https://www.unicomengineering.com/</x:v>
      </x:c>
      <x:c r="G35" t="str">
        <x:f>'MASTER_QUEUE'!G214</x:f>
        <x:v>Canton</x:v>
      </x:c>
      <x:c r="H35" s="8" t="str">
        <x:f>'MASTER_QUEUE'!H214</x:f>
        <x:v>Snov</x:v>
      </x:c>
      <x:c r="I35" s="8" t="str">
        <x:f>'MASTER_QUEUE'!I214</x:f>
        <x:v>Not Started</x:v>
      </x:c>
      <x:c r="J35" s="8" t="str">
        <x:f>'MASTER_QUEUE'!J214</x:f>
        <x:v>LARGE_MANUFACTURING</x:v>
      </x:c>
      <x:c r="K35" s="7" t="str">
        <x:f>'MASTER_QUEUE'!K214</x:f>
        <x:v>Plant Manager &gt; Operations Director &gt; Training Director &gt; L&amp;D Director &gt; HR Director &gt; Safety Director &gt; VP of Operations</x:v>
      </x:c>
    </x:row>
    <x:row r="36" ht="42" customHeight="1">
      <x:c r="A36" t="str">
        <x:f>'MASTER_QUEUE'!A215</x:f>
        <x:v>Veranova</x:v>
      </x:c>
      <x:c r="B36" t="str">
        <x:f>'MASTER_QUEUE'!B215</x:f>
        <x:v>Pharmaceutical Manufacturing</x:v>
      </x:c>
      <x:c r="C36" s="12" t="n">
        <x:f>'MASTER_QUEUE'!C215</x:f>
        <x:v>589</x:v>
      </x:c>
      <x:c r="D36" s="13" t="str">
        <x:f>'MASTER_QUEUE'!D215</x:f>
        <x:v>501-1,000</x:v>
      </x:c>
      <x:c r="E36" s="7" t="str">
        <x:f>'MASTER_QUEUE'!E215</x:f>
        <x:v>https://www.linkedin.com/company/veranovalife</x:v>
      </x:c>
      <x:c r="F36" s="7" t="str">
        <x:f>'MASTER_QUEUE'!F215</x:f>
        <x:v>https://www.veranova.com/</x:v>
      </x:c>
      <x:c r="G36" t="str">
        <x:f>'MASTER_QUEUE'!G215</x:f>
        <x:v>Devens</x:v>
      </x:c>
      <x:c r="H36" s="8" t="str">
        <x:f>'MASTER_QUEUE'!H215</x:f>
        <x:v>Snov</x:v>
      </x:c>
      <x:c r="I36" s="8" t="str">
        <x:f>'MASTER_QUEUE'!I215</x:f>
        <x:v>Not Started</x:v>
      </x:c>
      <x:c r="J36" s="8" t="str">
        <x:f>'MASTER_QUEUE'!J215</x:f>
        <x:v>LARGE_MANUFACTURING</x:v>
      </x:c>
      <x:c r="K36" s="7" t="str">
        <x:f>'MASTER_QUEUE'!K215</x:f>
        <x:v>Plant Manager &gt; Operations Director &gt; Training Director &gt; L&amp;D Director &gt; HR Director &gt; Safety Director &gt; VP of Operations</x:v>
      </x:c>
    </x:row>
    <x:row r="37" ht="42" customHeight="1">
      <x:c r="A37" t="str">
        <x:f>'MASTER_QUEUE'!A216</x:f>
        <x:v>Verc Enterprises, Inc.</x:v>
      </x:c>
      <x:c r="B37" t="str">
        <x:f>'MASTER_QUEUE'!B216</x:f>
        <x:v>Convenience Retail &amp; Fuel</x:v>
      </x:c>
      <x:c r="C37" s="12" t="n">
        <x:f>'MASTER_QUEUE'!C216</x:f>
        <x:v>27</x:v>
      </x:c>
      <x:c r="D37" s="13" t="str">
        <x:f>'MASTER_QUEUE'!D216</x:f>
        <x:v>201-500</x:v>
      </x:c>
      <x:c r="E37" s="7" t="str">
        <x:f>'MASTER_QUEUE'!E216</x:f>
        <x:v>https://www.linkedin.com/company/verc-enterprises-inc</x:v>
      </x:c>
      <x:c r="F37" s="7" t="str">
        <x:f>'MASTER_QUEUE'!F216</x:f>
        <x:v>http://www.vercenterprises.com/</x:v>
      </x:c>
      <x:c r="G37" t="str">
        <x:f>'MASTER_QUEUE'!G216</x:f>
        <x:v>Duxbury</x:v>
      </x:c>
      <x:c r="H37" s="8" t="str">
        <x:f>'MASTER_QUEUE'!H216</x:f>
        <x:v>Snov</x:v>
      </x:c>
      <x:c r="I37" s="8" t="str">
        <x:f>'MASTER_QUEUE'!I216</x:f>
        <x:v>Not Started</x:v>
      </x:c>
      <x:c r="J37" s="8" t="str">
        <x:f>'MASTER_QUEUE'!J216</x:f>
        <x:v>LARGE_HOSPITALITY_RETAIL</x:v>
      </x:c>
      <x:c r="K37" s="7" t="str">
        <x:f>'MASTER_QUEUE'!K216</x:f>
        <x:v>Training Director &gt; Operations Director &gt; Regional Operations Director &gt; HR Director &gt; General Manager &gt; VP of Operations</x:v>
      </x:c>
    </x:row>
    <x:row r="38" ht="42" customHeight="1">
      <x:c r="A38" t="str">
        <x:f>'MASTER_QUEUE'!A217</x:f>
        <x:v>Vicor Corp</x:v>
      </x:c>
      <x:c r="B38" t="str">
        <x:f>'MASTER_QUEUE'!B217</x:f>
        <x:v>Semiconductor Manufacturing</x:v>
      </x:c>
      <x:c r="C38" s="12" t="n">
        <x:f>'MASTER_QUEUE'!C217</x:f>
        <x:v>1010</x:v>
      </x:c>
      <x:c r="D38" s="13" t="str">
        <x:f>'MASTER_QUEUE'!D217</x:f>
        <x:v>1,001-5,000</x:v>
      </x:c>
      <x:c r="E38" s="7" t="str">
        <x:f>'MASTER_QUEUE'!E217</x:f>
        <x:v>https://www.linkedin.com/company/vicor-corporation</x:v>
      </x:c>
      <x:c r="F38" s="7" t="str">
        <x:f>'MASTER_QUEUE'!F217</x:f>
        <x:v>https://www.vicorpower.com/</x:v>
      </x:c>
      <x:c r="G38" t="str">
        <x:f>'MASTER_QUEUE'!G217</x:f>
        <x:v>Andover</x:v>
      </x:c>
      <x:c r="H38" s="8" t="str">
        <x:f>'MASTER_QUEUE'!H217</x:f>
        <x:v>Snov</x:v>
      </x:c>
      <x:c r="I38" s="8" t="str">
        <x:f>'MASTER_QUEUE'!I217</x:f>
        <x:v>Not Started</x:v>
      </x:c>
      <x:c r="J38" s="8" t="str">
        <x:f>'MASTER_QUEUE'!J217</x:f>
        <x:v>ENTERPRISE_MANUFACTURING</x:v>
      </x:c>
      <x:c r="K38" s="7" t="str">
        <x:f>'MASTER_QUEUE'!K217</x:f>
        <x:v>Plant Manager &gt; Training Director &gt; L&amp;D Director &gt; Workforce Development Director &gt; Operations Director &gt; HR Director &gt; VP of HR</x:v>
      </x:c>
    </x:row>
    <x:row r="39" ht="42" customHeight="1">
      <x:c r="A39" t="str">
        <x:f>'MASTER_QUEUE'!A218</x:f>
        <x:v>Vivonics, Inc.</x:v>
      </x:c>
      <x:c r="B39" t="str">
        <x:f>'MASTER_QUEUE'!B218</x:f>
        <x:v>Biomedical Engineering R&amp;D</x:v>
      </x:c>
      <x:c r="C39" s="12" t="n">
        <x:f>'MASTER_QUEUE'!C218</x:f>
        <x:v>9</x:v>
      </x:c>
      <x:c r="D39" s="13" t="str">
        <x:f>'MASTER_QUEUE'!D218</x:f>
        <x:v>Not visible</x:v>
      </x:c>
      <x:c r="E39" s="7" t="str">
        <x:f>'MASTER_QUEUE'!E218</x:f>
        <x:v>https://www.linkedin.com/company/vivonics-inc-</x:v>
      </x:c>
      <x:c r="F39" s="7" t="str">
        <x:f>'MASTER_QUEUE'!F218</x:f>
        <x:v>https://www.vivonics.com/</x:v>
      </x:c>
      <x:c r="G39" t="str">
        <x:f>'MASTER_QUEUE'!G218</x:f>
        <x:v>Bedford</x:v>
      </x:c>
      <x:c r="H39" s="8" t="str">
        <x:f>'MASTER_QUEUE'!H218</x:f>
        <x:v>Snov</x:v>
      </x:c>
      <x:c r="I39" s="8" t="str">
        <x:f>'MASTER_QUEUE'!I218</x:f>
        <x:v>Not Started</x:v>
      </x:c>
      <x:c r="J39" s="8" t="str">
        <x:f>'MASTER_QUEUE'!J218</x:f>
        <x:v>SMALL_TECH_PROFESSIONAL</x:v>
      </x:c>
      <x:c r="K39" s="7" t="str">
        <x:f>'MASTER_QUEUE'!K218</x:f>
        <x:v>Owner &gt; Founder &gt; Co-Founder &gt; President &gt; CEO &gt; Managing Partner &gt; COO &gt; People Operations Manager &gt; HR Manager</x:v>
      </x:c>
    </x:row>
    <x:row r="40" ht="42" customHeight="1">
      <x:c r="A40" t="str">
        <x:f>'MASTER_QUEUE'!A219</x:f>
        <x:v>WareRite</x:v>
      </x:c>
      <x:c r="B40" t="str">
        <x:f>'MASTER_QUEUE'!B219</x:f>
        <x:v>Countertop Manufacturing</x:v>
      </x:c>
      <x:c r="C40" s="12" t="str">
        <x:f>'MASTER_QUEUE'!C219</x:f>
        <x:v>Not visible</x:v>
      </x:c>
      <x:c r="D40" s="13" t="str">
        <x:f>'MASTER_QUEUE'!D219</x:f>
        <x:v>Not visible</x:v>
      </x:c>
      <x:c r="E40" s="7" t="str">
        <x:f>'MASTER_QUEUE'!E219</x:f>
        <x:v>Not verified</x:v>
      </x:c>
      <x:c r="F40" s="7" t="str">
        <x:f>'MASTER_QUEUE'!F219</x:f>
        <x:v>https://warerite.com/</x:v>
      </x:c>
      <x:c r="G40" t="str">
        <x:f>'MASTER_QUEUE'!G219</x:f>
        <x:v>East Bridgewater</x:v>
      </x:c>
      <x:c r="H40" s="8" t="str">
        <x:f>'MASTER_QUEUE'!H219</x:f>
        <x:v>Snov</x:v>
      </x:c>
      <x:c r="I40" s="8" t="str">
        <x:f>'MASTER_QUEUE'!I219</x:f>
        <x:v>Not Started</x:v>
      </x:c>
      <x:c r="J40" s="8" t="str">
        <x:f>'MASTER_QUEUE'!J219</x:f>
        <x:v>UNKNOWN_MANUFACTURING</x:v>
      </x:c>
      <x:c r="K40" s="7" t="str">
        <x:f>'MASTER_QUEUE'!K219</x:f>
        <x:v>Owner &gt; President &gt; CEO &gt; Plant Manager &gt; Operations Director &gt; Training Manager &gt; HR Director</x:v>
      </x:c>
    </x:row>
    <x:row r="41" ht="42" customHeight="1">
      <x:c r="A41" t="str">
        <x:f>'MASTER_QUEUE'!A220</x:f>
        <x:v>Wash Cycle Laundry</x:v>
      </x:c>
      <x:c r="B41" t="str">
        <x:f>'MASTER_QUEUE'!B220</x:f>
        <x:v>Laundry Services</x:v>
      </x:c>
      <x:c r="C41" s="12" t="str">
        <x:f>'MASTER_QUEUE'!C220</x:f>
        <x:v>Not visible</x:v>
      </x:c>
      <x:c r="D41" s="13" t="str">
        <x:f>'MASTER_QUEUE'!D220</x:f>
        <x:v>51-200</x:v>
      </x:c>
      <x:c r="E41" s="7" t="str">
        <x:f>'MASTER_QUEUE'!E220</x:f>
        <x:v>https://www.linkedin.com/company/wash-cycle-lndry</x:v>
      </x:c>
      <x:c r="F41" s="7" t="str">
        <x:f>'MASTER_QUEUE'!F220</x:f>
        <x:v>https://www.washcyclelaundry.com/</x:v>
      </x:c>
      <x:c r="G41" t="str">
        <x:f>'MASTER_QUEUE'!G220</x:f>
        <x:v>Lynn</x:v>
      </x:c>
      <x:c r="H41" s="8" t="str">
        <x:f>'MASTER_QUEUE'!H220</x:f>
        <x:v>Snov</x:v>
      </x:c>
      <x:c r="I41" s="8" t="str">
        <x:f>'MASTER_QUEUE'!I220</x:f>
        <x:v>Not Started</x:v>
      </x:c>
      <x:c r="J41" s="8" t="str">
        <x:f>'MASTER_QUEUE'!J220</x:f>
        <x:v>MID_LOGISTICS_OPERATIONS</x:v>
      </x:c>
      <x:c r="K41" s="7" t="str">
        <x:f>'MASTER_QUEUE'!K220</x:f>
        <x:v>Operations Director &gt; General Manager &gt; Safety Manager &gt; Training Manager &gt; HR Director &gt; President &gt; CEO</x:v>
      </x:c>
    </x:row>
    <x:row r="42" ht="42" customHeight="1">
      <x:c r="A42" t="str">
        <x:f>'MASTER_QUEUE'!A221</x:f>
        <x:v>Wave Life Sciences USA, Inc.</x:v>
      </x:c>
      <x:c r="B42" t="str">
        <x:f>'MASTER_QUEUE'!B221</x:f>
        <x:v>Biotechnology</x:v>
      </x:c>
      <x:c r="C42" s="12" t="n">
        <x:f>'MASTER_QUEUE'!C221</x:f>
        <x:v>386</x:v>
      </x:c>
      <x:c r="D42" s="13" t="str">
        <x:f>'MASTER_QUEUE'!D221</x:f>
        <x:v>201-500</x:v>
      </x:c>
      <x:c r="E42" s="7" t="str">
        <x:f>'MASTER_QUEUE'!E221</x:f>
        <x:v>https://www.linkedin.com/company/wave-life-sciences</x:v>
      </x:c>
      <x:c r="F42" s="7" t="str">
        <x:f>'MASTER_QUEUE'!F221</x:f>
        <x:v>https://www.wavelifesciences.com/</x:v>
      </x:c>
      <x:c r="G42" t="str">
        <x:f>'MASTER_QUEUE'!G221</x:f>
        <x:v>Cambridge</x:v>
      </x:c>
      <x:c r="H42" s="8" t="str">
        <x:f>'MASTER_QUEUE'!H221</x:f>
        <x:v>Snov</x:v>
      </x:c>
      <x:c r="I42" s="8" t="str">
        <x:f>'MASTER_QUEUE'!I221</x:f>
        <x:v>Not Started</x:v>
      </x:c>
      <x:c r="J42" s="8" t="str">
        <x:f>'MASTER_QUEUE'!J221</x:f>
        <x:v>LARGE_TECH_PROFESSIONAL</x:v>
      </x:c>
      <x:c r="K42" s="7" t="str">
        <x:f>'MASTER_QUEUE'!K221</x:f>
        <x:v>L&amp;D Director &gt; People Operations Director &gt; Talent Development Director &gt; Organizational Development Director &gt; HR Director &gt; VP of People</x:v>
      </x:c>
    </x:row>
    <x:row r="43" ht="42" customHeight="1">
      <x:c r="A43" t="str">
        <x:f>'MASTER_QUEUE'!A222</x:f>
        <x:v>WeCare 365</x:v>
      </x:c>
      <x:c r="B43" t="str">
        <x:f>'MASTER_QUEUE'!B222</x:f>
        <x:v>Home Health Care Services</x:v>
      </x:c>
      <x:c r="C43" s="12" t="str">
        <x:f>'MASTER_QUEUE'!C222</x:f>
        <x:v>Not visible</x:v>
      </x:c>
      <x:c r="D43" s="13" t="str">
        <x:f>'MASTER_QUEUE'!D222</x:f>
        <x:v>51-200</x:v>
      </x:c>
      <x:c r="E43" s="7" t="str">
        <x:f>'MASTER_QUEUE'!E222</x:f>
        <x:v>https://www.linkedin.com/company/wecare-365-afc</x:v>
      </x:c>
      <x:c r="F43" s="7" t="str">
        <x:f>'MASTER_QUEUE'!F222</x:f>
        <x:v>https://www.wecare365afc.com/</x:v>
      </x:c>
      <x:c r="G43" t="str">
        <x:f>'MASTER_QUEUE'!G222</x:f>
        <x:v>Brockton</x:v>
      </x:c>
      <x:c r="H43" s="8" t="str">
        <x:f>'MASTER_QUEUE'!H222</x:f>
        <x:v>Snov</x:v>
      </x:c>
      <x:c r="I43" s="8" t="str">
        <x:f>'MASTER_QUEUE'!I222</x:f>
        <x:v>Not Started</x:v>
      </x:c>
      <x:c r="J43" s="8" t="str">
        <x:f>'MASTER_QUEUE'!J222</x:f>
        <x:v>MID_HEALTHCARE</x:v>
      </x:c>
      <x:c r="K43" s="7" t="str">
        <x:f>'MASTER_QUEUE'!K222</x:f>
        <x:v>Workforce Development Director &gt; Clinical Education Director &gt; L&amp;D Director &gt; HR Director &gt; Executive Director &gt; Operations Director</x:v>
      </x:c>
    </x:row>
    <x:row r="44" ht="42" customHeight="1">
      <x:c r="A44" t="str">
        <x:f>'MASTER_QUEUE'!A223</x:f>
        <x:v>Webster Five</x:v>
      </x:c>
      <x:c r="B44" t="str">
        <x:f>'MASTER_QUEUE'!B223</x:f>
        <x:v>Banking</x:v>
      </x:c>
      <x:c r="C44" s="12" t="n">
        <x:f>'MASTER_QUEUE'!C223</x:f>
        <x:v>139</x:v>
      </x:c>
      <x:c r="D44" s="13" t="str">
        <x:f>'MASTER_QUEUE'!D223</x:f>
        <x:v>51-200</x:v>
      </x:c>
      <x:c r="E44" s="7" t="str">
        <x:f>'MASTER_QUEUE'!E223</x:f>
        <x:v>https://www.linkedin.com/company/webster-five</x:v>
      </x:c>
      <x:c r="F44" s="7" t="str">
        <x:f>'MASTER_QUEUE'!F223</x:f>
        <x:v>https://www.websterfive.com/</x:v>
      </x:c>
      <x:c r="G44" t="str">
        <x:f>'MASTER_QUEUE'!G223</x:f>
        <x:v>Auburn</x:v>
      </x:c>
      <x:c r="H44" s="8" t="str">
        <x:f>'MASTER_QUEUE'!H223</x:f>
        <x:v>Snov</x:v>
      </x:c>
      <x:c r="I44" s="8" t="str">
        <x:f>'MASTER_QUEUE'!I223</x:f>
        <x:v>Not Started</x:v>
      </x:c>
      <x:c r="J44" s="8" t="str">
        <x:f>'MASTER_QUEUE'!J223</x:f>
        <x:v>MID_FINANCIAL_SERVICES</x:v>
      </x:c>
      <x:c r="K44" s="7" t="str">
        <x:f>'MASTER_QUEUE'!K223</x:f>
        <x:v>HR Director &gt; L&amp;D Manager &gt; Training Manager &gt; COO &gt; Operations Director &gt; President &gt; CEO</x:v>
      </x:c>
    </x:row>
    <x:row r="45" ht="42" customHeight="1">
      <x:c r="A45" t="str">
        <x:f>'MASTER_QUEUE'!A224</x:f>
        <x:v>Westfield Bank</x:v>
      </x:c>
      <x:c r="B45" t="str">
        <x:f>'MASTER_QUEUE'!B224</x:f>
        <x:v>Banking</x:v>
      </x:c>
      <x:c r="C45" s="12" t="str">
        <x:f>'MASTER_QUEUE'!C224</x:f>
        <x:v>Not visible</x:v>
      </x:c>
      <x:c r="D45" s="13" t="str">
        <x:f>'MASTER_QUEUE'!D224</x:f>
        <x:v>201-500</x:v>
      </x:c>
      <x:c r="E45" s="7" t="str">
        <x:f>'MASTER_QUEUE'!E224</x:f>
        <x:v>https://www.linkedin.com/company/westfieldbank</x:v>
      </x:c>
      <x:c r="F45" s="7" t="str">
        <x:f>'MASTER_QUEUE'!F224</x:f>
        <x:v>https://www.westfieldbank.com/</x:v>
      </x:c>
      <x:c r="G45" t="str">
        <x:f>'MASTER_QUEUE'!G224</x:f>
        <x:v>Westfield</x:v>
      </x:c>
      <x:c r="H45" s="8" t="str">
        <x:f>'MASTER_QUEUE'!H224</x:f>
        <x:v>Snov</x:v>
      </x:c>
      <x:c r="I45" s="8" t="str">
        <x:f>'MASTER_QUEUE'!I224</x:f>
        <x:v>Not Started</x:v>
      </x:c>
      <x:c r="J45" s="8" t="str">
        <x:f>'MASTER_QUEUE'!J224</x:f>
        <x:v>LARGE_FINANCIAL_SERVICES</x:v>
      </x:c>
      <x:c r="K45" s="7" t="str">
        <x:f>'MASTER_QUEUE'!K224</x:f>
        <x:v>L&amp;D Director &gt; Training Director &gt; HR Director &gt; Talent Development Director &gt; COO &gt; VP of HR</x:v>
      </x:c>
    </x:row>
    <x:row r="46" ht="42" customHeight="1">
      <x:c r="A46" t="str">
        <x:f>'MASTER_QUEUE'!A225</x:f>
        <x:v>WestRock</x:v>
      </x:c>
      <x:c r="B46" t="str">
        <x:f>'MASTER_QUEUE'!B225</x:f>
        <x:v>Packaging Manufacturing</x:v>
      </x:c>
      <x:c r="C46" s="12" t="n">
        <x:f>'MASTER_QUEUE'!C225</x:f>
        <x:v>13171</x:v>
      </x:c>
      <x:c r="D46" s="13" t="str">
        <x:f>'MASTER_QUEUE'!D225</x:f>
        <x:v>10,001+</x:v>
      </x:c>
      <x:c r="E46" s="7" t="str">
        <x:f>'MASTER_QUEUE'!E225</x:f>
        <x:v>https://www.linkedin.com/company/westrockcompany</x:v>
      </x:c>
      <x:c r="F46" s="7" t="str">
        <x:f>'MASTER_QUEUE'!F225</x:f>
        <x:v>https://www.smurfitwestrock.com/</x:v>
      </x:c>
      <x:c r="G46" t="str">
        <x:f>'MASTER_QUEUE'!G225</x:f>
        <x:v>Devens</x:v>
      </x:c>
      <x:c r="H46" s="8" t="str">
        <x:f>'MASTER_QUEUE'!H225</x:f>
        <x:v>Snov</x:v>
      </x:c>
      <x:c r="I46" s="8" t="str">
        <x:f>'MASTER_QUEUE'!I225</x:f>
        <x:v>Not Started</x:v>
      </x:c>
      <x:c r="J46" s="8" t="str">
        <x:f>'MASTER_QUEUE'!J225</x:f>
        <x:v>ENTERPRISE_MANUFACTURING</x:v>
      </x:c>
      <x:c r="K46" s="7" t="str">
        <x:f>'MASTER_QUEUE'!K225</x:f>
        <x:v>Plant Manager &gt; Training Director &gt; L&amp;D Director &gt; Workforce Development Director &gt; Operations Director &gt; HR Director &gt; VP of HR</x:v>
      </x:c>
    </x:row>
    <x:row r="47" ht="42" customHeight="1">
      <x:c r="A47" t="str">
        <x:f>'MASTER_QUEUE'!A226</x:f>
        <x:v>Whitin Community Center</x:v>
      </x:c>
      <x:c r="B47" t="str">
        <x:f>'MASTER_QUEUE'!B226</x:f>
        <x:v>Recreation &amp; Community Services</x:v>
      </x:c>
      <x:c r="C47" s="12" t="str">
        <x:f>'MASTER_QUEUE'!C226</x:f>
        <x:v>Not visible</x:v>
      </x:c>
      <x:c r="D47" s="13" t="str">
        <x:f>'MASTER_QUEUE'!D226</x:f>
        <x:v>51-200</x:v>
      </x:c>
      <x:c r="E47" s="7" t="str">
        <x:f>'MASTER_QUEUE'!E226</x:f>
        <x:v>https://www.linkedin.com/company/whitincommunitycenter</x:v>
      </x:c>
      <x:c r="F47" s="7" t="str">
        <x:f>'MASTER_QUEUE'!F226</x:f>
        <x:v>https://www.whitincommunitycenter.com/</x:v>
      </x:c>
      <x:c r="G47" t="str">
        <x:f>'MASTER_QUEUE'!G226</x:f>
        <x:v>Whitinsville</x:v>
      </x:c>
      <x:c r="H47" s="8" t="str">
        <x:f>'MASTER_QUEUE'!H226</x:f>
        <x:v>Snov</x:v>
      </x:c>
      <x:c r="I47" s="8" t="str">
        <x:f>'MASTER_QUEUE'!I226</x:f>
        <x:v>Not Started</x:v>
      </x:c>
      <x:c r="J47" s="8" t="str">
        <x:f>'MASTER_QUEUE'!J226</x:f>
        <x:v>MID_NONPROFIT_SOCIAL</x:v>
      </x:c>
      <x:c r="K47" s="7" t="str">
        <x:f>'MASTER_QUEUE'!K226</x:f>
        <x:v>Executive Director &gt; Workforce Development Director &gt; Training Director &gt; L&amp;D Director &gt; Operations Director &gt; HR Director</x:v>
      </x:c>
    </x:row>
    <x:row r="48" ht="42" customHeight="1">
      <x:c r="A48" t="str">
        <x:f>'MASTER_QUEUE'!A227</x:f>
        <x:v>Wirefab</x:v>
      </x:c>
      <x:c r="B48" t="str">
        <x:f>'MASTER_QUEUE'!B227</x:f>
        <x:v>Wire Products Manufacturing</x:v>
      </x:c>
      <x:c r="C48" s="12" t="n">
        <x:f>'MASTER_QUEUE'!C227</x:f>
        <x:v>26</x:v>
      </x:c>
      <x:c r="D48" s="13" t="str">
        <x:f>'MASTER_QUEUE'!D227</x:f>
        <x:v>51-200</x:v>
      </x:c>
      <x:c r="E48" s="7" t="str">
        <x:f>'MASTER_QUEUE'!E227</x:f>
        <x:v>https://www.linkedin.com/company/wirefab-inc</x:v>
      </x:c>
      <x:c r="F48" s="7" t="str">
        <x:f>'MASTER_QUEUE'!F227</x:f>
        <x:v>https://www.wirefab.com/</x:v>
      </x:c>
      <x:c r="G48" t="str">
        <x:f>'MASTER_QUEUE'!G227</x:f>
        <x:v>Worcester</x:v>
      </x:c>
      <x:c r="H48" s="8" t="str">
        <x:f>'MASTER_QUEUE'!H227</x:f>
        <x:v>Snov</x:v>
      </x:c>
      <x:c r="I48" s="8" t="str">
        <x:f>'MASTER_QUEUE'!I227</x:f>
        <x:v>Not Started</x:v>
      </x:c>
      <x:c r="J48" s="8" t="str">
        <x:f>'MASTER_QUEUE'!J227</x:f>
        <x:v>MID_MANUFACTURING</x:v>
      </x:c>
      <x:c r="K48" s="7" t="str">
        <x:f>'MASTER_QUEUE'!K227</x:f>
        <x:v>Plant Manager &gt; Operations Director &gt; HR Director &gt; Training Manager &gt; Safety Manager &gt; President &gt; CEO</x:v>
      </x:c>
    </x:row>
    <x:row r="49" ht="42" customHeight="1">
      <x:c r="A49" t="str">
        <x:f>'MASTER_QUEUE'!A228</x:f>
        <x:v>Wolf &amp; Company, P.C.</x:v>
      </x:c>
      <x:c r="B49" t="str">
        <x:f>'MASTER_QUEUE'!B228</x:f>
        <x:v>Accounting</x:v>
      </x:c>
      <x:c r="C49" s="12" t="n">
        <x:f>'MASTER_QUEUE'!C228</x:f>
        <x:v>561</x:v>
      </x:c>
      <x:c r="D49" s="13" t="str">
        <x:f>'MASTER_QUEUE'!D228</x:f>
        <x:v>201-500</x:v>
      </x:c>
      <x:c r="E49" s="7" t="str">
        <x:f>'MASTER_QUEUE'!E228</x:f>
        <x:v>https://www.linkedin.com/company/wolf-%26-company-p-c-</x:v>
      </x:c>
      <x:c r="F49" s="7" t="str">
        <x:f>'MASTER_QUEUE'!F228</x:f>
        <x:v>https://www.wolfandco.com/</x:v>
      </x:c>
      <x:c r="G49" t="str">
        <x:f>'MASTER_QUEUE'!G228</x:f>
        <x:v>Boston</x:v>
      </x:c>
      <x:c r="H49" s="8" t="str">
        <x:f>'MASTER_QUEUE'!H228</x:f>
        <x:v>Snov</x:v>
      </x:c>
      <x:c r="I49" s="8" t="str">
        <x:f>'MASTER_QUEUE'!I228</x:f>
        <x:v>Not Started</x:v>
      </x:c>
      <x:c r="J49" s="8" t="str">
        <x:f>'MASTER_QUEUE'!J228</x:f>
        <x:v>LARGE_FINANCIAL_SERVICES</x:v>
      </x:c>
      <x:c r="K49" s="7" t="str">
        <x:f>'MASTER_QUEUE'!K228</x:f>
        <x:v>L&amp;D Director &gt; Training Director &gt; HR Director &gt; Talent Development Director &gt; COO &gt; VP of HR</x:v>
      </x:c>
    </x:row>
    <x:row r="50" ht="42" customHeight="1">
      <x:c r="A50" t="str">
        <x:f>'MASTER_QUEUE'!A229</x:f>
        <x:v>Worcester Envelope Company</x:v>
      </x:c>
      <x:c r="B50" t="str">
        <x:f>'MASTER_QUEUE'!B229</x:f>
        <x:v>Envelope &amp; Printing Manufacturing</x:v>
      </x:c>
      <x:c r="C50" s="12" t="str">
        <x:f>'MASTER_QUEUE'!C229</x:f>
        <x:v>Not visible</x:v>
      </x:c>
      <x:c r="D50" s="13" t="str">
        <x:f>'MASTER_QUEUE'!D229</x:f>
        <x:v>Not visible</x:v>
      </x:c>
      <x:c r="E50" s="7" t="str">
        <x:f>'MASTER_QUEUE'!E229</x:f>
        <x:v>Not verified</x:v>
      </x:c>
      <x:c r="F50" s="7" t="str">
        <x:f>'MASTER_QUEUE'!F229</x:f>
        <x:v>https://corp.worcesterenvelope.com/</x:v>
      </x:c>
      <x:c r="G50" t="str">
        <x:f>'MASTER_QUEUE'!G229</x:f>
        <x:v>Worcester</x:v>
      </x:c>
      <x:c r="H50" s="8" t="str">
        <x:f>'MASTER_QUEUE'!H229</x:f>
        <x:v>Snov</x:v>
      </x:c>
      <x:c r="I50" s="8" t="str">
        <x:f>'MASTER_QUEUE'!I229</x:f>
        <x:v>Not Started</x:v>
      </x:c>
      <x:c r="J50" s="8" t="str">
        <x:f>'MASTER_QUEUE'!J229</x:f>
        <x:v>UNKNOWN_MANUFACTURING</x:v>
      </x:c>
      <x:c r="K50" s="7" t="str">
        <x:f>'MASTER_QUEUE'!K229</x:f>
        <x:v>Owner &gt; President &gt; CEO &gt; Plant Manager &gt; Operations Director &gt; Training Manager &gt; HR Director</x:v>
      </x:c>
    </x:row>
    <x:row r="51" ht="42" customHeight="1">
      <x:c r="A51" t="str">
        <x:f>'MASTER_QUEUE'!A230</x:f>
        <x:v>Wrentham Tool Group Inc.</x:v>
      </x:c>
      <x:c r="B51" t="str">
        <x:f>'MASTER_QUEUE'!B230</x:f>
        <x:v>Tool &amp; Die Manufacturing</x:v>
      </x:c>
      <x:c r="C51" s="12" t="n">
        <x:f>'MASTER_QUEUE'!C230</x:f>
        <x:v>28</x:v>
      </x:c>
      <x:c r="D51" s="13" t="str">
        <x:f>'MASTER_QUEUE'!D230</x:f>
        <x:v>51-200</x:v>
      </x:c>
      <x:c r="E51" s="7" t="str">
        <x:f>'MASTER_QUEUE'!E230</x:f>
        <x:v>https://www.linkedin.com/company/wrentham-tool-products-llc</x:v>
      </x:c>
      <x:c r="F51" s="7" t="str">
        <x:f>'MASTER_QUEUE'!F230</x:f>
        <x:v>https://wrenthamtool.com/</x:v>
      </x:c>
      <x:c r="G51" t="str">
        <x:f>'MASTER_QUEUE'!G230</x:f>
        <x:v>Bellingham</x:v>
      </x:c>
      <x:c r="H51" s="8" t="str">
        <x:f>'MASTER_QUEUE'!H230</x:f>
        <x:v>Snov</x:v>
      </x:c>
      <x:c r="I51" s="8" t="str">
        <x:f>'MASTER_QUEUE'!I230</x:f>
        <x:v>Not Started</x:v>
      </x:c>
      <x:c r="J51" s="8" t="str">
        <x:f>'MASTER_QUEUE'!J230</x:f>
        <x:v>MID_MANUFACTURING</x:v>
      </x:c>
      <x:c r="K51" s="7" t="str">
        <x:f>'MASTER_QUEUE'!K230</x:f>
        <x:v>Plant Manager &gt; Operations Director &gt; HR Director &gt; Training Manager &gt; Safety Manager &gt; President &gt; CEO</x:v>
      </x:c>
    </x:row>
  </x:sheetData>
  <x:conditionalFormatting sqref="C2:F51">
    <x:cfRule type="containsText" dxfId="28" priority="1" operator="containsText" text="Not verified"/>
    <x:cfRule type="containsText" dxfId="29" priority="2" operator="containsText" text="Not visible"/>
  </x:conditionalFormatting>
  <x:conditionalFormatting sqref="I2:I51">
    <x:cfRule type="containsText" dxfId="30" priority="3" operator="containsText" text="Not Started"/>
    <x:cfRule type="containsText" dxfId="31" priority="4" operator="containsText" text="In Progress"/>
    <x:cfRule type="containsText" dxfId="32" priority="5" operator="containsText" text="Ready"/>
    <x:cfRule type="containsText" dxfId="33" priority="6" operator="containsText" text="Needs Review"/>
    <x:cfRule type="containsText" dxfId="34" priority="7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c24adf339c124f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29" hidden="0" customWidth="1"/>
    <x:col min="4" max="4" width="92" hidden="0" customWidth="1"/>
    <x:col min="5" max="5" width="52" hidden="0" customWidth="1"/>
  </x:cols>
  <x:sheetData>
    <x:row r="1" ht="30" customHeight="1">
      <x:c r="A1" s="3" t="str">
        <x:v>Express Training Targeting Rules</x:v>
      </x:c>
      <x:c r="B1" s="3"/>
      <x:c r="C1" s="3"/>
      <x:c r="D1" s="3"/>
      <x:c r="E1" s="3"/>
    </x:row>
    <x:row r="2" ht="35" customHeight="1">
      <x:c r="A2" s="6" t="str">
        <x:v>The effective size tier uses the larger tier indicated by LinkedIn company size or associated-member count, preventing an enterprise from being treated as a small business when the two measures conflict.</x:v>
      </x:c>
      <x:c r="B2" s="6"/>
      <x:c r="C2" s="6"/>
      <x:c r="D2" s="6"/>
      <x:c r="E2" s="6"/>
    </x:row>
    <x:row r="3" ht="35" customHeight="1">
      <x:c r="A3" s="6" t="str">
        <x:v>Company size selects authority level; industry selects the functional buyer. Small companies keep owner/founder/CEO first except nonprofit executive-director structures.</x:v>
      </x:c>
      <x:c r="B3" s="6"/>
      <x:c r="C3" s="6"/>
      <x:c r="D3" s="6"/>
      <x:c r="E3" s="6"/>
    </x:row>
    <x:row r="5">
      <x:c r="A5" t="str">
        <x:v>targetingTrack</x:v>
      </x:c>
      <x:c r="B5" t="str">
        <x:v>sizeTier</x:v>
      </x:c>
      <x:c r="C5" t="str">
        <x:v>industryTrack</x:v>
      </x:c>
      <x:c r="D5" t="str">
        <x:v>targetTitlePriority</x:v>
      </x:c>
      <x:c r="E5" t="str">
        <x:v>ruleRationale</x:v>
      </x:c>
    </x:row>
    <x:row r="6" ht="34" customHeight="1">
      <x:c r="A6" s="8" t="str">
        <x:v>SMALL_MANUFACTURING</x:v>
      </x:c>
      <x:c r="B6" s="8" t="str">
        <x:v>SMALL</x:v>
      </x:c>
      <x:c r="C6" s="8" t="str">
        <x:v>MANUFACTURING</x:v>
      </x:c>
      <x:c r="D6" s="7" t="str">
        <x:v>Owner &gt; Founder &gt; Co-Founder &gt; President &gt; CEO &gt; Plant Manager &gt; Operations Manager &gt; Training Manager &gt; HR Manager</x:v>
      </x:c>
      <x:c r="E6" s="7" t="str">
        <x:v>Owner-level authority leads; industry selects the operational fallback.</x:v>
      </x:c>
    </x:row>
    <x:row r="7" ht="34" customHeight="1">
      <x:c r="A7" s="8" t="str">
        <x:v>SMALL_CONSTRUCTION_TRADES</x:v>
      </x:c>
      <x:c r="B7" s="8" t="str">
        <x:v>SMALL</x:v>
      </x:c>
      <x:c r="C7" s="8" t="str">
        <x:v>CONSTRUCTION_TRADES</x:v>
      </x:c>
      <x:c r="D7" s="7" t="str">
        <x:v>Owner &gt; Founder &gt; Co-Founder &gt; President &gt; CEO &gt; Operations Manager &gt; Safety Manager &gt; Training Manager &gt; HR Manager</x:v>
      </x:c>
      <x:c r="E7" s="7" t="str">
        <x:v>Owner-level authority leads; industry selects the operational fallback.</x:v>
      </x:c>
    </x:row>
    <x:row r="8" ht="34" customHeight="1">
      <x:c r="A8" s="8" t="str">
        <x:v>SMALL_HEALTHCARE</x:v>
      </x:c>
      <x:c r="B8" s="8" t="str">
        <x:v>SMALL</x:v>
      </x:c>
      <x:c r="C8" s="8" t="str">
        <x:v>HEALTHCARE</x:v>
      </x:c>
      <x:c r="D8" s="7" t="str">
        <x:v>Owner &gt; Founder &gt; Co-Founder &gt; President &gt; CEO &gt; Executive Director &gt; Practice Administrator &gt; HR Manager &gt; Clinical Education Manager</x:v>
      </x:c>
      <x:c r="E8" s="7" t="str">
        <x:v>Owner-level authority leads; industry selects the operational fallback.</x:v>
      </x:c>
    </x:row>
    <x:row r="9" ht="34" customHeight="1">
      <x:c r="A9" s="8" t="str">
        <x:v>SMALL_HOSPITALITY_RETAIL</x:v>
      </x:c>
      <x:c r="B9" s="8" t="str">
        <x:v>SMALL</x:v>
      </x:c>
      <x:c r="C9" s="8" t="str">
        <x:v>HOSPITALITY_RETAIL</x:v>
      </x:c>
      <x:c r="D9" s="7" t="str">
        <x:v>Owner &gt; Founder &gt; Co-Founder &gt; President &gt; CEO &gt; General Manager &gt; Operations Manager &gt; Training Manager &gt; HR Manager</x:v>
      </x:c>
      <x:c r="E9" s="7" t="str">
        <x:v>Owner-level authority leads; industry selects the operational fallback.</x:v>
      </x:c>
    </x:row>
    <x:row r="10" ht="34" customHeight="1">
      <x:c r="A10" s="8" t="str">
        <x:v>SMALL_TECH_PROFESSIONAL</x:v>
      </x:c>
      <x:c r="B10" s="8" t="str">
        <x:v>SMALL</x:v>
      </x:c>
      <x:c r="C10" s="8" t="str">
        <x:v>TECH_PROFESSIONAL</x:v>
      </x:c>
      <x:c r="D10" s="7" t="str">
        <x:v>Owner &gt; Founder &gt; Co-Founder &gt; President &gt; CEO &gt; Managing Partner &gt; COO &gt; People Operations Manager &gt; HR Manager</x:v>
      </x:c>
      <x:c r="E10" s="7" t="str">
        <x:v>Owner-level authority leads; industry selects the operational fallback.</x:v>
      </x:c>
    </x:row>
    <x:row r="11" ht="34" customHeight="1">
      <x:c r="A11" s="8" t="str">
        <x:v>SMALL_FINANCIAL_SERVICES</x:v>
      </x:c>
      <x:c r="B11" s="8" t="str">
        <x:v>SMALL</x:v>
      </x:c>
      <x:c r="C11" s="8" t="str">
        <x:v>FINANCIAL_SERVICES</x:v>
      </x:c>
      <x:c r="D11" s="7" t="str">
        <x:v>Owner &gt; Founder &gt; Co-Founder &gt; President &gt; CEO &gt; Managing Partner &gt; COO &gt; HR Manager &gt; Training Manager</x:v>
      </x:c>
      <x:c r="E11" s="7" t="str">
        <x:v>Owner-level authority leads; industry selects the operational fallback.</x:v>
      </x:c>
    </x:row>
    <x:row r="12" ht="34" customHeight="1">
      <x:c r="A12" s="8" t="str">
        <x:v>SMALL_NONPROFIT_SOCIAL</x:v>
      </x:c>
      <x:c r="B12" s="8" t="str">
        <x:v>SMALL</x:v>
      </x:c>
      <x:c r="C12" s="8" t="str">
        <x:v>NONPROFIT_SOCIAL</x:v>
      </x:c>
      <x:c r="D12" s="7" t="str">
        <x:v>Executive Director &gt; Founder &gt; President &gt; CEO &gt; Operations Manager &gt; Workforce Development Director &gt; Training Manager &gt; HR Manager</x:v>
      </x:c>
      <x:c r="E12" s="7" t="str">
        <x:v>Owner-level authority leads; industry selects the operational fallback.</x:v>
      </x:c>
    </x:row>
    <x:row r="13" ht="34" customHeight="1">
      <x:c r="A13" s="8" t="str">
        <x:v>SMALL_LOGISTICS_OPERATIONS</x:v>
      </x:c>
      <x:c r="B13" s="8" t="str">
        <x:v>SMALL</x:v>
      </x:c>
      <x:c r="C13" s="8" t="str">
        <x:v>LOGISTICS_OPERATIONS</x:v>
      </x:c>
      <x:c r="D13" s="7" t="str">
        <x:v>Owner &gt; Founder &gt; Co-Founder &gt; President &gt; CEO &gt; General Manager &gt; Operations Manager &gt; Training Manager &gt; Safety Manager &gt; HR Manager</x:v>
      </x:c>
      <x:c r="E13" s="7" t="str">
        <x:v>Owner-level authority leads; industry selects the operational fallback.</x:v>
      </x:c>
    </x:row>
    <x:row r="14" ht="34" customHeight="1">
      <x:c r="A14" s="8" t="str">
        <x:v>SMALL_REAL_ESTATE_FACILITIES</x:v>
      </x:c>
      <x:c r="B14" s="8" t="str">
        <x:v>SMALL</x:v>
      </x:c>
      <x:c r="C14" s="8" t="str">
        <x:v>REAL_ESTATE_FACILITIES</x:v>
      </x:c>
      <x:c r="D14" s="7" t="str">
        <x:v>Owner &gt; Founder &gt; Co-Founder &gt; President &gt; CEO &gt; Property Manager &gt; Facilities Manager &gt; Operations Manager &gt; HR Manager</x:v>
      </x:c>
      <x:c r="E14" s="7" t="str">
        <x:v>Owner-level authority leads; industry selects the operational fallback.</x:v>
      </x:c>
    </x:row>
    <x:row r="15" ht="34" customHeight="1">
      <x:c r="A15" s="8" t="str">
        <x:v>SMALL_GENERAL_BUSINESS</x:v>
      </x:c>
      <x:c r="B15" s="8" t="str">
        <x:v>SMALL</x:v>
      </x:c>
      <x:c r="C15" s="8" t="str">
        <x:v>GENERAL_BUSINESS</x:v>
      </x:c>
      <x:c r="D15" s="7" t="str">
        <x:v>Owner &gt; Founder &gt; Co-Founder &gt; President &gt; CEO &gt; COO &gt; General Manager &gt; HR Manager &gt; Operations Manager</x:v>
      </x:c>
      <x:c r="E15" s="7" t="str">
        <x:v>Owner-level authority leads; industry selects the operational fallback.</x:v>
      </x:c>
    </x:row>
    <x:row r="16" ht="34" customHeight="1">
      <x:c r="A16" s="8" t="str">
        <x:v>MID_MANUFACTURING</x:v>
      </x:c>
      <x:c r="B16" s="8" t="str">
        <x:v>MID</x:v>
      </x:c>
      <x:c r="C16" s="8" t="str">
        <x:v>MANUFACTURING</x:v>
      </x:c>
      <x:c r="D16" s="7" t="str">
        <x:v>Plant Manager &gt; Operations Director &gt; HR Director &gt; Training Manager &gt; Safety Manager &gt; President &gt; CEO</x:v>
      </x:c>
      <x:c r="E16" s="7" t="str">
        <x:v>Industry function leads at the authority level appropriate to company size.</x:v>
      </x:c>
    </x:row>
    <x:row r="17" ht="34" customHeight="1">
      <x:c r="A17" s="8" t="str">
        <x:v>MID_CONSTRUCTION_TRADES</x:v>
      </x:c>
      <x:c r="B17" s="8" t="str">
        <x:v>MID</x:v>
      </x:c>
      <x:c r="C17" s="8" t="str">
        <x:v>CONSTRUCTION_TRADES</x:v>
      </x:c>
      <x:c r="D17" s="7" t="str">
        <x:v>Operations Director &gt; Safety Director &gt; Safety Manager &gt; Training Manager &gt; HR Director &gt; HR Manager &gt; President &gt; CEO</x:v>
      </x:c>
      <x:c r="E17" s="7" t="str">
        <x:v>Industry function leads at the authority level appropriate to company size.</x:v>
      </x:c>
    </x:row>
    <x:row r="18" ht="34" customHeight="1">
      <x:c r="A18" s="8" t="str">
        <x:v>MID_HEALTHCARE</x:v>
      </x:c>
      <x:c r="B18" s="8" t="str">
        <x:v>MID</x:v>
      </x:c>
      <x:c r="C18" s="8" t="str">
        <x:v>HEALTHCARE</x:v>
      </x:c>
      <x:c r="D18" s="7" t="str">
        <x:v>Workforce Development Director &gt; Clinical Education Director &gt; L&amp;D Director &gt; HR Director &gt; Executive Director &gt; Operations Director</x:v>
      </x:c>
      <x:c r="E18" s="7" t="str">
        <x:v>Industry function leads at the authority level appropriate to company size.</x:v>
      </x:c>
    </x:row>
    <x:row r="19" ht="34" customHeight="1">
      <x:c r="A19" s="8" t="str">
        <x:v>MID_HOSPITALITY_RETAIL</x:v>
      </x:c>
      <x:c r="B19" s="8" t="str">
        <x:v>MID</x:v>
      </x:c>
      <x:c r="C19" s="8" t="str">
        <x:v>HOSPITALITY_RETAIL</x:v>
      </x:c>
      <x:c r="D19" s="7" t="str">
        <x:v>General Manager &gt; Operations Director &gt; Training Director &gt; Training Manager &gt; HR Director &gt; Regional Manager &gt; President &gt; CEO</x:v>
      </x:c>
      <x:c r="E19" s="7" t="str">
        <x:v>Industry function leads at the authority level appropriate to company size.</x:v>
      </x:c>
    </x:row>
    <x:row r="20" ht="34" customHeight="1">
      <x:c r="A20" s="8" t="str">
        <x:v>MID_TECH_PROFESSIONAL</x:v>
      </x:c>
      <x:c r="B20" s="8" t="str">
        <x:v>MID</x:v>
      </x:c>
      <x:c r="C20" s="8" t="str">
        <x:v>TECH_PROFESSIONAL</x:v>
      </x:c>
      <x:c r="D20" s="7" t="str">
        <x:v>People Operations Director &gt; HR Director &gt; L&amp;D Manager &gt; Talent Development Manager &gt; Operations Director &gt; Managing Partner &gt; CEO</x:v>
      </x:c>
      <x:c r="E20" s="7" t="str">
        <x:v>Industry function leads at the authority level appropriate to company size.</x:v>
      </x:c>
    </x:row>
    <x:row r="21" ht="34" customHeight="1">
      <x:c r="A21" s="8" t="str">
        <x:v>MID_FINANCIAL_SERVICES</x:v>
      </x:c>
      <x:c r="B21" s="8" t="str">
        <x:v>MID</x:v>
      </x:c>
      <x:c r="C21" s="8" t="str">
        <x:v>FINANCIAL_SERVICES</x:v>
      </x:c>
      <x:c r="D21" s="7" t="str">
        <x:v>HR Director &gt; L&amp;D Manager &gt; Training Manager &gt; COO &gt; Operations Director &gt; President &gt; CEO</x:v>
      </x:c>
      <x:c r="E21" s="7" t="str">
        <x:v>Industry function leads at the authority level appropriate to company size.</x:v>
      </x:c>
    </x:row>
    <x:row r="22" ht="34" customHeight="1">
      <x:c r="A22" s="8" t="str">
        <x:v>MID_NONPROFIT_SOCIAL</x:v>
      </x:c>
      <x:c r="B22" s="8" t="str">
        <x:v>MID</x:v>
      </x:c>
      <x:c r="C22" s="8" t="str">
        <x:v>NONPROFIT_SOCIAL</x:v>
      </x:c>
      <x:c r="D22" s="7" t="str">
        <x:v>Executive Director &gt; Workforce Development Director &gt; Training Director &gt; L&amp;D Director &gt; Operations Director &gt; HR Director</x:v>
      </x:c>
      <x:c r="E22" s="7" t="str">
        <x:v>Industry function leads at the authority level appropriate to company size.</x:v>
      </x:c>
    </x:row>
    <x:row r="23" ht="34" customHeight="1">
      <x:c r="A23" s="8" t="str">
        <x:v>MID_LOGISTICS_OPERATIONS</x:v>
      </x:c>
      <x:c r="B23" s="8" t="str">
        <x:v>MID</x:v>
      </x:c>
      <x:c r="C23" s="8" t="str">
        <x:v>LOGISTICS_OPERATIONS</x:v>
      </x:c>
      <x:c r="D23" s="7" t="str">
        <x:v>Operations Director &gt; General Manager &gt; Safety Manager &gt; Training Manager &gt; HR Director &gt; President &gt; CEO</x:v>
      </x:c>
      <x:c r="E23" s="7" t="str">
        <x:v>Industry function leads at the authority level appropriate to company size.</x:v>
      </x:c>
    </x:row>
    <x:row r="24" ht="34" customHeight="1">
      <x:c r="A24" s="8" t="str">
        <x:v>MID_REAL_ESTATE_FACILITIES</x:v>
      </x:c>
      <x:c r="B24" s="8" t="str">
        <x:v>MID</x:v>
      </x:c>
      <x:c r="C24" s="8" t="str">
        <x:v>REAL_ESTATE_FACILITIES</x:v>
      </x:c>
      <x:c r="D24" s="7" t="str">
        <x:v>Property Director &gt; Facilities Director &gt; Operations Director &gt; General Manager &gt; HR Director &gt; Training Manager</x:v>
      </x:c>
      <x:c r="E24" s="7" t="str">
        <x:v>Industry function leads at the authority level appropriate to company size.</x:v>
      </x:c>
    </x:row>
    <x:row r="25" ht="34" customHeight="1">
      <x:c r="A25" s="8" t="str">
        <x:v>MID_GENERAL_BUSINESS</x:v>
      </x:c>
      <x:c r="B25" s="8" t="str">
        <x:v>MID</x:v>
      </x:c>
      <x:c r="C25" s="8" t="str">
        <x:v>GENERAL_BUSINESS</x:v>
      </x:c>
      <x:c r="D25" s="7" t="str">
        <x:v>HR Director &gt; People Director &gt; Training Manager &gt; L&amp;D Manager &gt; Workforce Development Director &gt; Operations Director &gt; President &gt; CEO</x:v>
      </x:c>
      <x:c r="E25" s="7" t="str">
        <x:v>Industry function leads at the authority level appropriate to company size.</x:v>
      </x:c>
    </x:row>
    <x:row r="26" ht="34" customHeight="1">
      <x:c r="A26" s="8" t="str">
        <x:v>LARGE_MANUFACTURING</x:v>
      </x:c>
      <x:c r="B26" s="8" t="str">
        <x:v>LARGE</x:v>
      </x:c>
      <x:c r="C26" s="8" t="str">
        <x:v>MANUFACTURING</x:v>
      </x:c>
      <x:c r="D26" s="7" t="str">
        <x:v>Plant Manager &gt; Operations Director &gt; Training Director &gt; L&amp;D Director &gt; HR Director &gt; Safety Director &gt; VP of Operations</x:v>
      </x:c>
      <x:c r="E26" s="7" t="str">
        <x:v>Industry function leads at the authority level appropriate to company size.</x:v>
      </x:c>
    </x:row>
    <x:row r="27" ht="34" customHeight="1">
      <x:c r="A27" s="8" t="str">
        <x:v>LARGE_CONSTRUCTION_TRADES</x:v>
      </x:c>
      <x:c r="B27" s="8" t="str">
        <x:v>LARGE</x:v>
      </x:c>
      <x:c r="C27" s="8" t="str">
        <x:v>CONSTRUCTION_TRADES</x:v>
      </x:c>
      <x:c r="D27" s="7" t="str">
        <x:v>Operations Director &gt; Safety Director &gt; Training Director &gt; L&amp;D Director &gt; HR Director &gt; VP of Operations</x:v>
      </x:c>
      <x:c r="E27" s="7" t="str">
        <x:v>Industry function leads at the authority level appropriate to company size.</x:v>
      </x:c>
    </x:row>
    <x:row r="28" ht="34" customHeight="1">
      <x:c r="A28" s="8" t="str">
        <x:v>LARGE_HEALTHCARE</x:v>
      </x:c>
      <x:c r="B28" s="8" t="str">
        <x:v>LARGE</x:v>
      </x:c>
      <x:c r="C28" s="8" t="str">
        <x:v>HEALTHCARE</x:v>
      </x:c>
      <x:c r="D28" s="7" t="str">
        <x:v>Workforce Development Director &gt; L&amp;D Director &gt; Clinical Education Director &gt; Organizational Development Director &gt; HR Director &gt; VP of HR</x:v>
      </x:c>
      <x:c r="E28" s="7" t="str">
        <x:v>Industry function leads at the authority level appropriate to company size.</x:v>
      </x:c>
    </x:row>
    <x:row r="29" ht="34" customHeight="1">
      <x:c r="A29" s="8" t="str">
        <x:v>LARGE_HOSPITALITY_RETAIL</x:v>
      </x:c>
      <x:c r="B29" s="8" t="str">
        <x:v>LARGE</x:v>
      </x:c>
      <x:c r="C29" s="8" t="str">
        <x:v>HOSPITALITY_RETAIL</x:v>
      </x:c>
      <x:c r="D29" s="7" t="str">
        <x:v>Training Director &gt; Operations Director &gt; Regional Operations Director &gt; HR Director &gt; General Manager &gt; VP of Operations</x:v>
      </x:c>
      <x:c r="E29" s="7" t="str">
        <x:v>Industry function leads at the authority level appropriate to company size.</x:v>
      </x:c>
    </x:row>
    <x:row r="30" ht="34" customHeight="1">
      <x:c r="A30" s="8" t="str">
        <x:v>LARGE_TECH_PROFESSIONAL</x:v>
      </x:c>
      <x:c r="B30" s="8" t="str">
        <x:v>LARGE</x:v>
      </x:c>
      <x:c r="C30" s="8" t="str">
        <x:v>TECH_PROFESSIONAL</x:v>
      </x:c>
      <x:c r="D30" s="7" t="str">
        <x:v>L&amp;D Director &gt; People Operations Director &gt; Talent Development Director &gt; Organizational Development Director &gt; HR Director &gt; VP of People</x:v>
      </x:c>
      <x:c r="E30" s="7" t="str">
        <x:v>Industry function leads at the authority level appropriate to company size.</x:v>
      </x:c>
    </x:row>
    <x:row r="31" ht="34" customHeight="1">
      <x:c r="A31" s="8" t="str">
        <x:v>LARGE_FINANCIAL_SERVICES</x:v>
      </x:c>
      <x:c r="B31" s="8" t="str">
        <x:v>LARGE</x:v>
      </x:c>
      <x:c r="C31" s="8" t="str">
        <x:v>FINANCIAL_SERVICES</x:v>
      </x:c>
      <x:c r="D31" s="7" t="str">
        <x:v>L&amp;D Director &gt; Training Director &gt; HR Director &gt; Talent Development Director &gt; COO &gt; VP of HR</x:v>
      </x:c>
      <x:c r="E31" s="7" t="str">
        <x:v>Industry function leads at the authority level appropriate to company size.</x:v>
      </x:c>
    </x:row>
    <x:row r="32" ht="34" customHeight="1">
      <x:c r="A32" s="8" t="str">
        <x:v>LARGE_NONPROFIT_SOCIAL</x:v>
      </x:c>
      <x:c r="B32" s="8" t="str">
        <x:v>LARGE</x:v>
      </x:c>
      <x:c r="C32" s="8" t="str">
        <x:v>NONPROFIT_SOCIAL</x:v>
      </x:c>
      <x:c r="D32" s="7" t="str">
        <x:v>Workforce Development Director &gt; L&amp;D Director &gt; Training Director &gt; Organizational Development Director &gt; HR Director &gt; COO &gt; Executive Director</x:v>
      </x:c>
      <x:c r="E32" s="7" t="str">
        <x:v>Industry function leads at the authority level appropriate to company size.</x:v>
      </x:c>
    </x:row>
    <x:row r="33" ht="34" customHeight="1">
      <x:c r="A33" s="8" t="str">
        <x:v>LARGE_LOGISTICS_OPERATIONS</x:v>
      </x:c>
      <x:c r="B33" s="8" t="str">
        <x:v>LARGE</x:v>
      </x:c>
      <x:c r="C33" s="8" t="str">
        <x:v>LOGISTICS_OPERATIONS</x:v>
      </x:c>
      <x:c r="D33" s="7" t="str">
        <x:v>Operations Director &gt; Training Director &gt; Safety Director &gt; HR Director &gt; VP of Operations &gt; Regional Manager</x:v>
      </x:c>
      <x:c r="E33" s="7" t="str">
        <x:v>Industry function leads at the authority level appropriate to company size.</x:v>
      </x:c>
    </x:row>
    <x:row r="34" ht="34" customHeight="1">
      <x:c r="A34" s="8" t="str">
        <x:v>LARGE_REAL_ESTATE_FACILITIES</x:v>
      </x:c>
      <x:c r="B34" s="8" t="str">
        <x:v>LARGE</x:v>
      </x:c>
      <x:c r="C34" s="8" t="str">
        <x:v>REAL_ESTATE_FACILITIES</x:v>
      </x:c>
      <x:c r="D34" s="7" t="str">
        <x:v>Facilities Director &gt; Operations Director &gt; Training Director &gt; L&amp;D Director &gt; HR Director &gt; Regional Manager</x:v>
      </x:c>
      <x:c r="E34" s="7" t="str">
        <x:v>Industry function leads at the authority level appropriate to company size.</x:v>
      </x:c>
    </x:row>
    <x:row r="35" ht="34" customHeight="1">
      <x:c r="A35" s="8" t="str">
        <x:v>LARGE_GENERAL_BUSINESS</x:v>
      </x:c>
      <x:c r="B35" s="8" t="str">
        <x:v>LARGE</x:v>
      </x:c>
      <x:c r="C35" s="8" t="str">
        <x:v>GENERAL_BUSINESS</x:v>
      </x:c>
      <x:c r="D35" s="7" t="str">
        <x:v>L&amp;D Director &gt; People Director &gt; Talent Development Director &gt; Organizational Development Director &gt; HR Director &gt; Operations Director</x:v>
      </x:c>
      <x:c r="E35" s="7" t="str">
        <x:v>Industry function leads at the authority level appropriate to company size.</x:v>
      </x:c>
    </x:row>
    <x:row r="36" ht="34" customHeight="1">
      <x:c r="A36" s="8" t="str">
        <x:v>ENTERPRISE_MANUFACTURING</x:v>
      </x:c>
      <x:c r="B36" s="8" t="str">
        <x:v>ENTERPRISE</x:v>
      </x:c>
      <x:c r="C36" s="8" t="str">
        <x:v>MANUFACTURING</x:v>
      </x:c>
      <x:c r="D36" s="7" t="str">
        <x:v>Plant Manager &gt; Training Director &gt; L&amp;D Director &gt; Workforce Development Director &gt; Operations Director &gt; HR Director &gt; VP of HR</x:v>
      </x:c>
      <x:c r="E36" s="7" t="str">
        <x:v>Industry function leads at the authority level appropriate to company size.</x:v>
      </x:c>
    </x:row>
    <x:row r="37" ht="34" customHeight="1">
      <x:c r="A37" s="8" t="str">
        <x:v>ENTERPRISE_CONSTRUCTION_TRADES</x:v>
      </x:c>
      <x:c r="B37" s="8" t="str">
        <x:v>ENTERPRISE</x:v>
      </x:c>
      <x:c r="C37" s="8" t="str">
        <x:v>CONSTRUCTION_TRADES</x:v>
      </x:c>
      <x:c r="D37" s="7" t="str">
        <x:v>Training Director &gt; Workforce Development Director &gt; Safety Director &gt; Operations Director &gt; L&amp;D Director &gt; HR Director &gt; VP of Operations</x:v>
      </x:c>
      <x:c r="E37" s="7" t="str">
        <x:v>Industry function leads at the authority level appropriate to company size.</x:v>
      </x:c>
    </x:row>
    <x:row r="38" ht="34" customHeight="1">
      <x:c r="A38" s="8" t="str">
        <x:v>ENTERPRISE_HEALTHCARE</x:v>
      </x:c>
      <x:c r="B38" s="8" t="str">
        <x:v>ENTERPRISE</x:v>
      </x:c>
      <x:c r="C38" s="8" t="str">
        <x:v>HEALTHCARE</x:v>
      </x:c>
      <x:c r="D38" s="7" t="str">
        <x:v>Workforce Development Director &gt; L&amp;D Director &gt; Clinical Education Director &gt; Organizational Development Director &gt; Training Director &gt; VP of HR</x:v>
      </x:c>
      <x:c r="E38" s="7" t="str">
        <x:v>Industry function leads at the authority level appropriate to company size.</x:v>
      </x:c>
    </x:row>
    <x:row r="39" ht="34" customHeight="1">
      <x:c r="A39" s="8" t="str">
        <x:v>ENTERPRISE_HOSPITALITY_RETAIL</x:v>
      </x:c>
      <x:c r="B39" s="8" t="str">
        <x:v>ENTERPRISE</x:v>
      </x:c>
      <x:c r="C39" s="8" t="str">
        <x:v>HOSPITALITY_RETAIL</x:v>
      </x:c>
      <x:c r="D39" s="7" t="str">
        <x:v>L&amp;D Director &gt; Training Director &gt; Regional Operations Director &gt; HR Director &gt; VP of Operations &gt; VP of HR</x:v>
      </x:c>
      <x:c r="E39" s="7" t="str">
        <x:v>Industry function leads at the authority level appropriate to company size.</x:v>
      </x:c>
    </x:row>
    <x:row r="40" ht="34" customHeight="1">
      <x:c r="A40" s="8" t="str">
        <x:v>ENTERPRISE_TECH_PROFESSIONAL</x:v>
      </x:c>
      <x:c r="B40" s="8" t="str">
        <x:v>ENTERPRISE</x:v>
      </x:c>
      <x:c r="C40" s="8" t="str">
        <x:v>TECH_PROFESSIONAL</x:v>
      </x:c>
      <x:c r="D40" s="7" t="str">
        <x:v>L&amp;D Director &gt; Organizational Development Director &gt; Talent Development Director &gt; People Operations Director &gt; Workforce Development Director &gt; VP of People</x:v>
      </x:c>
      <x:c r="E40" s="7" t="str">
        <x:v>Industry function leads at the authority level appropriate to company size.</x:v>
      </x:c>
    </x:row>
    <x:row r="41" ht="34" customHeight="1">
      <x:c r="A41" s="8" t="str">
        <x:v>ENTERPRISE_FINANCIAL_SERVICES</x:v>
      </x:c>
      <x:c r="B41" s="8" t="str">
        <x:v>ENTERPRISE</x:v>
      </x:c>
      <x:c r="C41" s="8" t="str">
        <x:v>FINANCIAL_SERVICES</x:v>
      </x:c>
      <x:c r="D41" s="7" t="str">
        <x:v>L&amp;D Director &gt; Training Director &gt; Talent Development Director &gt; Organizational Development Director &gt; HR Director &gt; VP of HR</x:v>
      </x:c>
      <x:c r="E41" s="7" t="str">
        <x:v>Industry function leads at the authority level appropriate to company size.</x:v>
      </x:c>
    </x:row>
    <x:row r="42" ht="34" customHeight="1">
      <x:c r="A42" s="8" t="str">
        <x:v>ENTERPRISE_NONPROFIT_SOCIAL</x:v>
      </x:c>
      <x:c r="B42" s="8" t="str">
        <x:v>ENTERPRISE</x:v>
      </x:c>
      <x:c r="C42" s="8" t="str">
        <x:v>NONPROFIT_SOCIAL</x:v>
      </x:c>
      <x:c r="D42" s="7" t="str">
        <x:v>Workforce Development Director &gt; L&amp;D Director &gt; Organizational Development Director &gt; Training Director &gt; HR Director &gt; VP of People</x:v>
      </x:c>
      <x:c r="E42" s="7" t="str">
        <x:v>Industry function leads at the authority level appropriate to company size.</x:v>
      </x:c>
    </x:row>
    <x:row r="43" ht="34" customHeight="1">
      <x:c r="A43" s="8" t="str">
        <x:v>ENTERPRISE_LOGISTICS_OPERATIONS</x:v>
      </x:c>
      <x:c r="B43" s="8" t="str">
        <x:v>ENTERPRISE</x:v>
      </x:c>
      <x:c r="C43" s="8" t="str">
        <x:v>LOGISTICS_OPERATIONS</x:v>
      </x:c>
      <x:c r="D43" s="7" t="str">
        <x:v>Training Director &gt; L&amp;D Director &gt; Workforce Development Director &gt; Operations Director &gt; Safety Director &gt; HR Director &gt; VP of Operations</x:v>
      </x:c>
      <x:c r="E43" s="7" t="str">
        <x:v>Industry function leads at the authority level appropriate to company size.</x:v>
      </x:c>
    </x:row>
    <x:row r="44" ht="34" customHeight="1">
      <x:c r="A44" s="8" t="str">
        <x:v>ENTERPRISE_REAL_ESTATE_FACILITIES</x:v>
      </x:c>
      <x:c r="B44" s="8" t="str">
        <x:v>ENTERPRISE</x:v>
      </x:c>
      <x:c r="C44" s="8" t="str">
        <x:v>REAL_ESTATE_FACILITIES</x:v>
      </x:c>
      <x:c r="D44" s="7" t="str">
        <x:v>L&amp;D Director &gt; Training Director &gt; Workforce Development Director &gt; Facilities Director &gt; Operations Director &gt; HR Director</x:v>
      </x:c>
      <x:c r="E44" s="7" t="str">
        <x:v>Industry function leads at the authority level appropriate to company size.</x:v>
      </x:c>
    </x:row>
    <x:row r="45" ht="34" customHeight="1">
      <x:c r="A45" s="8" t="str">
        <x:v>ENTERPRISE_GENERAL_BUSINESS</x:v>
      </x:c>
      <x:c r="B45" s="8" t="str">
        <x:v>ENTERPRISE</x:v>
      </x:c>
      <x:c r="C45" s="8" t="str">
        <x:v>GENERAL_BUSINESS</x:v>
      </x:c>
      <x:c r="D45" s="7" t="str">
        <x:v>L&amp;D Director &gt; Workforce Development Director &gt; Organizational Development Director &gt; Talent Development Director &gt; Training Director &gt; VP of HR</x:v>
      </x:c>
      <x:c r="E45" s="7" t="str">
        <x:v>Industry function leads at the authority level appropriate to company size.</x:v>
      </x:c>
    </x:row>
    <x:row r="46" ht="34" customHeight="1">
      <x:c r="A46" s="8" t="str">
        <x:v>UNKNOWN_MANUFACTURING</x:v>
      </x:c>
      <x:c r="B46" s="8" t="str">
        <x:v>UNKNOWN</x:v>
      </x:c>
      <x:c r="C46" s="8" t="str">
        <x:v>MANUFACTURING</x:v>
      </x:c>
      <x:c r="D46" s="7" t="str">
        <x:v>Owner &gt; President &gt; CEO &gt; Plant Manager &gt; Operations Director &gt; Training Manager &gt; HR Director</x:v>
      </x:c>
      <x:c r="E46" s="7" t="str">
        <x:v>Size is unverified; research size before finalizing the contact.</x:v>
      </x:c>
    </x:row>
    <x:row r="47" ht="34" customHeight="1">
      <x:c r="A47" s="8" t="str">
        <x:v>UNKNOWN_CONSTRUCTION_TRADES</x:v>
      </x:c>
      <x:c r="B47" s="8" t="str">
        <x:v>UNKNOWN</x:v>
      </x:c>
      <x:c r="C47" s="8" t="str">
        <x:v>CONSTRUCTION_TRADES</x:v>
      </x:c>
      <x:c r="D47" s="7" t="str">
        <x:v>Owner &gt; President &gt; CEO &gt; Operations Director &gt; Safety Manager &gt; Training Manager &gt; HR Director</x:v>
      </x:c>
      <x:c r="E47" s="7" t="str">
        <x:v>Size is unverified; research size before finalizing the contact.</x:v>
      </x:c>
    </x:row>
    <x:row r="48" ht="34" customHeight="1">
      <x:c r="A48" s="8" t="str">
        <x:v>UNKNOWN_HEALTHCARE</x:v>
      </x:c>
      <x:c r="B48" s="8" t="str">
        <x:v>UNKNOWN</x:v>
      </x:c>
      <x:c r="C48" s="8" t="str">
        <x:v>HEALTHCARE</x:v>
      </x:c>
      <x:c r="D48" s="7" t="str">
        <x:v>Owner &gt; President &gt; CEO &gt; Executive Director &gt; Workforce Development Director &gt; Clinical Education Director &gt; HR Director</x:v>
      </x:c>
      <x:c r="E48" s="7" t="str">
        <x:v>Size is unverified; research size before finalizing the contact.</x:v>
      </x:c>
    </x:row>
    <x:row r="49" ht="34" customHeight="1">
      <x:c r="A49" s="8" t="str">
        <x:v>UNKNOWN_HOSPITALITY_RETAIL</x:v>
      </x:c>
      <x:c r="B49" s="8" t="str">
        <x:v>UNKNOWN</x:v>
      </x:c>
      <x:c r="C49" s="8" t="str">
        <x:v>HOSPITALITY_RETAIL</x:v>
      </x:c>
      <x:c r="D49" s="7" t="str">
        <x:v>Owner &gt; President &gt; CEO &gt; General Manager &gt; Operations Director &gt; Training Manager &gt; HR Director</x:v>
      </x:c>
      <x:c r="E49" s="7" t="str">
        <x:v>Size is unverified; research size before finalizing the contact.</x:v>
      </x:c>
    </x:row>
    <x:row r="50" ht="34" customHeight="1">
      <x:c r="A50" s="8" t="str">
        <x:v>UNKNOWN_TECH_PROFESSIONAL</x:v>
      </x:c>
      <x:c r="B50" s="8" t="str">
        <x:v>UNKNOWN</x:v>
      </x:c>
      <x:c r="C50" s="8" t="str">
        <x:v>TECH_PROFESSIONAL</x:v>
      </x:c>
      <x:c r="D50" s="7" t="str">
        <x:v>Owner &gt; Founder &gt; Co-Founder &gt; President &gt; CEO &gt; People Operations Director &gt; L&amp;D Director &gt; HR Director</x:v>
      </x:c>
      <x:c r="E50" s="7" t="str">
        <x:v>Size is unverified; research size before finalizing the contact.</x:v>
      </x:c>
    </x:row>
    <x:row r="51" ht="34" customHeight="1">
      <x:c r="A51" s="8" t="str">
        <x:v>UNKNOWN_FINANCIAL_SERVICES</x:v>
      </x:c>
      <x:c r="B51" s="8" t="str">
        <x:v>UNKNOWN</x:v>
      </x:c>
      <x:c r="C51" s="8" t="str">
        <x:v>FINANCIAL_SERVICES</x:v>
      </x:c>
      <x:c r="D51" s="7" t="str">
        <x:v>Owner &gt; President &gt; CEO &gt; Managing Partner &gt; HR Director &gt; Training Manager &gt; COO</x:v>
      </x:c>
      <x:c r="E51" s="7" t="str">
        <x:v>Size is unverified; research size before finalizing the contact.</x:v>
      </x:c>
    </x:row>
    <x:row r="52" ht="34" customHeight="1">
      <x:c r="A52" s="8" t="str">
        <x:v>UNKNOWN_NONPROFIT_SOCIAL</x:v>
      </x:c>
      <x:c r="B52" s="8" t="str">
        <x:v>UNKNOWN</x:v>
      </x:c>
      <x:c r="C52" s="8" t="str">
        <x:v>NONPROFIT_SOCIAL</x:v>
      </x:c>
      <x:c r="D52" s="7" t="str">
        <x:v>Executive Director &gt; Founder &gt; President &gt; CEO &gt; Workforce Development Director &gt; Training Director &gt; HR Director</x:v>
      </x:c>
      <x:c r="E52" s="7" t="str">
        <x:v>Size is unverified; research size before finalizing the contact.</x:v>
      </x:c>
    </x:row>
    <x:row r="53" ht="34" customHeight="1">
      <x:c r="A53" s="8" t="str">
        <x:v>UNKNOWN_LOGISTICS_OPERATIONS</x:v>
      </x:c>
      <x:c r="B53" s="8" t="str">
        <x:v>UNKNOWN</x:v>
      </x:c>
      <x:c r="C53" s="8" t="str">
        <x:v>LOGISTICS_OPERATIONS</x:v>
      </x:c>
      <x:c r="D53" s="7" t="str">
        <x:v>Owner &gt; President &gt; CEO &gt; General Manager &gt; Operations Director &gt; Training Manager &gt; Safety Manager &gt; HR Director</x:v>
      </x:c>
      <x:c r="E53" s="7" t="str">
        <x:v>Size is unverified; research size before finalizing the contact.</x:v>
      </x:c>
    </x:row>
    <x:row r="54" ht="34" customHeight="1">
      <x:c r="A54" s="8" t="str">
        <x:v>UNKNOWN_REAL_ESTATE_FACILITIES</x:v>
      </x:c>
      <x:c r="B54" s="8" t="str">
        <x:v>UNKNOWN</x:v>
      </x:c>
      <x:c r="C54" s="8" t="str">
        <x:v>REAL_ESTATE_FACILITIES</x:v>
      </x:c>
      <x:c r="D54" s="7" t="str">
        <x:v>Owner &gt; President &gt; CEO &gt; Property Manager &gt; Facilities Director &gt; Operations Director &gt; HR Director</x:v>
      </x:c>
      <x:c r="E54" s="7" t="str">
        <x:v>Size is unverified; research size before finalizing the contact.</x:v>
      </x:c>
    </x:row>
    <x:row r="55" ht="34" customHeight="1">
      <x:c r="A55" s="8" t="str">
        <x:v>UNKNOWN_GENERAL_BUSINESS</x:v>
      </x:c>
      <x:c r="B55" s="8" t="str">
        <x:v>UNKNOWN</x:v>
      </x:c>
      <x:c r="C55" s="8" t="str">
        <x:v>GENERAL_BUSINESS</x:v>
      </x:c>
      <x:c r="D55" s="7" t="str">
        <x:v>Owner &gt; Founder &gt; Co-Founder &gt; President &gt; CEO &gt; HR Director &gt; Training Manager &gt; Operations Director</x:v>
      </x:c>
      <x:c r="E55" s="7" t="str">
        <x:v>Size is unverified; research size before finalizing the contact.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2477b6592db4b42"/>
  </x:tableParts>
</x:worksheet>
</file>