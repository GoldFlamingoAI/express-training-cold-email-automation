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5dbcd5536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4713b77940941cf"/>
    <x:sheet xmlns:r="http://schemas.openxmlformats.org/officeDocument/2006/relationships" name="MASTER_QUEUE" sheetId="2" r:id="Rc44526e9fe294e76"/>
    <x:sheet xmlns:r="http://schemas.openxmlformats.org/officeDocument/2006/relationships" name="APOLLO_59" sheetId="3" r:id="Rbb9841d37d6148e6"/>
    <x:sheet xmlns:r="http://schemas.openxmlformats.org/officeDocument/2006/relationships" name="PROSPEO_70" sheetId="4" r:id="R04236977bf884cd5"/>
    <x:sheet xmlns:r="http://schemas.openxmlformats.org/officeDocument/2006/relationships" name="SKRAPP_50" sheetId="5" r:id="Ra1a839430666463a"/>
    <x:sheet xmlns:r="http://schemas.openxmlformats.org/officeDocument/2006/relationships" name="SNOV_50" sheetId="6" r:id="Rc319f1450af548e4"/>
    <x:sheet xmlns:r="http://schemas.openxmlformats.org/officeDocument/2006/relationships" name="HOLD_REVIEW_29" sheetId="7" r:id="Rd591296af391468e"/>
    <x:sheet xmlns:r="http://schemas.openxmlformats.org/officeDocument/2006/relationships" name="IMPORT_READY" sheetId="8" r:id="R2251a5a837be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"/>
    <x:numFmt numFmtId="202" formatCode="0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16835B"/>
      <x:name val="Carlito"/>
    </x:font>
    <x:font>
      <x:b/>
      <x:sz val="10"/>
      <x:color rgb="FF172033"/>
      <x:name val="Carlito"/>
    </x:font>
    <x:font>
      <x:b/>
      <x:sz val="18"/>
      <x:color rgb="FFFFFFFF"/>
      <x:name val="Aptos"/>
    </x:font>
    <x:font>
      <x:sz val="10"/>
      <x:color rgb="FF172033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3"/>
      <x:color rgb="FFFFFFFF"/>
      <x:name val="Aptos"/>
    </x:font>
    <x:font>
      <x:b/>
      <x:sz val="11"/>
      <x:color rgb="FF16835B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172033"/>
      </x:patternFill>
    </x:fill>
    <x:fill>
      <x:patternFill patternType="solid">
        <x:fgColor rgb="FFE7F6EE"/>
      </x:patternFill>
    </x:fill>
    <x:fill>
      <x:patternFill patternType="solid">
        <x:fgColor rgb="FFD97706"/>
      </x:patternFill>
    </x:fill>
    <x:fill>
      <x:patternFill patternType="solid">
        <x:fgColor rgb="FFF4F7FA"/>
      </x:patternFill>
    </x:fill>
  </x:fills>
  <x:borders count="7">
    <x:border/>
    <x:border>
      <x:right style="thin">
        <x:color rgb="FFA7C7C4"/>
      </x:right>
    </x:border>
    <x:border>
      <x:left style="thin">
        <x:color rgb="FFA7C7C4"/>
      </x:left>
      <x:right style="thin">
        <x:color rgb="FFA7C7C4"/>
      </x:right>
    </x:border>
    <x:border>
      <x:left style="thin">
        <x:color rgb="FFA7C7C4"/>
      </x:left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0"/>
    </x:xf>
    <x:xf numFmtId="0" fontId="2" fillId="0" borderId="5" xfId="0" applyNumberFormat="1" applyFont="1" applyFill="1" applyBorder="1" applyAlignment="1">
      <x:alignment wrapText="0"/>
    </x:xf>
    <x:xf numFmtId="0" fontId="2" fillId="0" borderId="6" xfId="0" applyNumberFormat="1" applyFont="1" applyFill="1" applyBorder="1" applyAlignment="1">
      <x:alignment wrapText="0"/>
    </x:xf>
    <x:xf numFmtId="0" fontId="2" fillId="0" borderId="4" xfId="0" applyNumberFormat="1" applyFont="1" applyFill="1" applyBorder="1" applyAlignment="1">
      <x:alignment vertical="top" wrapText="0"/>
    </x:xf>
    <x:xf numFmtId="0" fontId="2" fillId="0" borderId="5" xfId="0" applyNumberFormat="1" applyFont="1" applyFill="1" applyBorder="1" applyAlignment="1">
      <x:alignment vertical="top" wrapText="0"/>
    </x:xf>
    <x:xf numFmtId="0" fontId="2" fillId="0" borderId="6" xfId="0" applyNumberFormat="1" applyFont="1" applyFill="1" applyBorder="1" applyAlignment="1">
      <x:alignment vertical="top" wrapText="0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8" borderId="4" xfId="0" applyNumberFormat="1" applyFont="1" applyFill="1" applyBorder="1" applyAlignment="1">
      <x:alignment vertical="center" wrapText="1"/>
    </x:xf>
    <x:xf numFmtId="0" fontId="2" fillId="8" borderId="5" xfId="0" applyNumberFormat="1" applyFont="1" applyFill="1" applyBorder="1" applyAlignment="1">
      <x:alignment vertical="center" wrapText="1"/>
    </x:xf>
    <x:xf numFmtId="0" fontId="2" fillId="8" borderId="6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left" vertical="center" wrapText="1"/>
    </x:xf>
    <x:xf numFmtId="0" fontId="10" fillId="4" borderId="2" xfId="0" applyNumberFormat="1" applyFont="1" applyFill="1" applyBorder="1" applyAlignment="1">
      <x:alignment horizontal="left" vertical="center" wrapText="1"/>
    </x:xf>
    <x:xf numFmtId="0" fontId="10" fillId="4" borderId="3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20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0" fontId="8" fillId="0" borderId="6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4" xfId="0" applyNumberFormat="1" applyFont="1" applyFill="1" applyBorder="1" applyAlignment="1">
      <x:alignment vertical="top" wrapText="0"/>
    </x:xf>
    <x:xf numFmtId="201" fontId="2" fillId="0" borderId="5" xfId="0" applyNumberFormat="1" applyFont="1" applyFill="1" applyBorder="1" applyAlignment="1">
      <x:alignment vertical="top" wrapText="0"/>
    </x:xf>
    <x:xf numFmtId="201" fontId="2" fillId="0" borderId="6" xfId="0" applyNumberFormat="1" applyFont="1" applyFill="1" applyBorder="1" applyAlignment="1">
      <x:alignment vertical="top" wrapText="0"/>
    </x:xf>
    <x:xf numFmtId="200" fontId="2" fillId="0" borderId="4" xfId="0" applyNumberFormat="1" applyFont="1" applyFill="1" applyBorder="1" applyAlignment="1">
      <x:alignment vertical="top" wrapText="0"/>
    </x:xf>
    <x:xf numFmtId="200" fontId="2" fillId="0" borderId="5" xfId="0" applyNumberFormat="1" applyFont="1" applyFill="1" applyBorder="1" applyAlignment="1">
      <x:alignment vertical="top" wrapText="0"/>
    </x:xf>
    <x:xf numFmtId="200" fontId="2" fillId="0" borderId="6" xfId="0" applyNumberFormat="1" applyFont="1" applyFill="1" applyBorder="1" applyAlignment="1">
      <x:alignment vertical="top" wrapText="0"/>
    </x:xf>
    <x:xf numFmtId="0" fontId="2" fillId="0" borderId="4" xfId="0" applyNumberFormat="1" applyFont="1" applyFill="1" applyBorder="1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horizontal="center"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4" xfId="0" applyNumberFormat="1" applyFont="1" applyFill="1" applyBorder="1" applyAlignment="1">
      <x:alignment vertical="top" wrapText="0"/>
    </x:xf>
    <x:xf numFmtId="202" fontId="2" fillId="0" borderId="5" xfId="0" applyNumberFormat="1" applyFont="1" applyFill="1" applyBorder="1" applyAlignment="1">
      <x:alignment vertical="top" wrapText="0"/>
    </x:xf>
    <x:xf numFmtId="202" fontId="2" fillId="0" borderId="6" xfId="0" applyNumberFormat="1" applyFont="1" applyFill="1" applyBorder="1" applyAlignment="1">
      <x:alignment vertical="top" wrapText="0"/>
    </x:xf>
    <x:xf numFmtId="0" fontId="2" fillId="0" borderId="4" xfId="0" applyNumberFormat="1" applyFont="1" applyFill="1" applyBorder="1" applyAlignment="1">
      <x:alignment horizontal="center" vertical="top" wrapText="0"/>
    </x:xf>
    <x:xf numFmtId="0" fontId="2" fillId="0" borderId="5" xfId="0" applyNumberFormat="1" applyFont="1" applyFill="1" applyBorder="1" applyAlignment="1">
      <x:alignment horizontal="center" vertical="top" wrapText="0"/>
    </x:xf>
    <x:xf numFmtId="0" fontId="2" fillId="0" borderId="6" xfId="0" applyNumberFormat="1" applyFont="1" applyFill="1" applyBorder="1" applyAlignment="1">
      <x:alignment horizontal="center" vertical="top" wrapText="0"/>
    </x:xf>
  </x:cellXfs>
  <x:cellStyles count="1">
    <x:cellStyle name="Normal" xfId="0"/>
  </x:cellStyles>
  <x:dxfs count="15"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b/>
        <x:color rgb="FFD97706"/>
      </x:font>
      <x:fill>
        <x:patternFill patternType="solid">
          <x:bgColor rgb="FFFFF4D6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16835B"/>
      </x:font>
      <x:fill>
        <x:patternFill patternType="solid">
          <x:bgColor rgb="FFE7F6EE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D97706"/>
      </x:font>
      <x:fill>
        <x:patternFill patternType="solid">
          <x:bgColor rgb="FFFFF4D6"/>
        </x:patternFill>
      </x:fill>
    </x:dxf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color rgb="FFD97706"/>
      </x:font>
      <x:fill>
        <x:patternFill patternType="solid">
          <x:bgColor rgb="FFFFF4D6"/>
        </x:patternFill>
      </x:fill>
    </x:dxf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color rgb="FFD97706"/>
      </x:font>
      <x:fill>
        <x:patternFill patternType="solid">
          <x:bgColor rgb="FFFFF4D6"/>
        </x:patternFill>
      </x:fill>
    </x:dxf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color rgb="FFD97706"/>
      </x:font>
      <x:fill>
        <x:patternFill patternType="solid">
          <x:bgColor rgb="FFFFF4D6"/>
        </x:patternFill>
      </x:fill>
    </x:dxf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b/>
        <x:color rgb="FF16835B"/>
      </x:font>
      <x:fill>
        <x:patternFill patternType="solid">
          <x:bgColor rgb="FFE7F6EE"/>
        </x:patternFill>
      </x:fill>
    </x:dxf>
    <x:dxf>
      <x:font>
        <x:color rgb="FFD97706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8884f87af4e0b" /><Relationship Type="http://schemas.openxmlformats.org/officeDocument/2006/relationships/theme" Target="/xl/theme/theme1.xml" Id="Raa42306fd4354c52" /><Relationship Type="http://schemas.microsoft.com/office/2022/11/relationships/FeaturePropertyBag" Target="/xl/featurePropertyBag/featurePropertyBag.xml" Id="Re94dff8363624167" /><Relationship Type="http://schemas.openxmlformats.org/officeDocument/2006/relationships/sharedStrings" Target="/xl/sharedStrings.xml" Id="Rc9f589b57c3445f4" /><Relationship Type="http://schemas.openxmlformats.org/officeDocument/2006/relationships/worksheet" Target="/xl/worksheets/sheet1.xml" Id="Ra4713b77940941cf" /><Relationship Type="http://schemas.openxmlformats.org/officeDocument/2006/relationships/worksheet" Target="/xl/worksheets/sheet2.xml" Id="Rc44526e9fe294e76" /><Relationship Type="http://schemas.openxmlformats.org/officeDocument/2006/relationships/worksheet" Target="/xl/worksheets/sheet3.xml" Id="Rbb9841d37d6148e6" /><Relationship Type="http://schemas.openxmlformats.org/officeDocument/2006/relationships/worksheet" Target="/xl/worksheets/sheet4.xml" Id="R04236977bf884cd5" /><Relationship Type="http://schemas.openxmlformats.org/officeDocument/2006/relationships/worksheet" Target="/xl/worksheets/sheet5.xml" Id="Ra1a839430666463a" /><Relationship Type="http://schemas.openxmlformats.org/officeDocument/2006/relationships/worksheet" Target="/xl/worksheets/sheet6.xml" Id="Rc319f1450af548e4" /><Relationship Type="http://schemas.openxmlformats.org/officeDocument/2006/relationships/worksheet" Target="/xl/worksheets/sheet7.xml" Id="Rd591296af391468e" /><Relationship Type="http://schemas.openxmlformats.org/officeDocument/2006/relationships/worksheet" Target="/xl/worksheets/sheet8.xml" Id="R2251a5a837be43ee" /><Relationship Type="http://schemas.microsoft.com/office/2017/10/relationships/person" Target="/xl/persons/person.xml" Id="R6bd4d76865fe46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dam Graney" id="{3E17837A-0C50-454E-BBAB-6D98E0E6F325}"/>
</xltc:personList>
</file>

<file path=xl/tables/table1.xml><?xml version="1.0" encoding="utf-8"?>
<x:table xmlns:x="http://schemas.openxmlformats.org/spreadsheetml/2006/main" id="1" name="MasterQueueTable" displayName="MasterQueueTable" ref="A1:Z230" headerRowCount="1" totalsRowCount="0" totalsRowShown="0">
  <x:tableColumns count="26">
    <x:tableColumn id="1" name="company"/>
    <x:tableColumn id="2" name="website"/>
    <x:tableColumn id="3" name="industry"/>
    <x:tableColumn id="4" name="city"/>
    <x:tableColumn id="5" name="state"/>
    <x:tableColumn id="6" name="employeeSize"/>
    <x:tableColumn id="7" name="sourceUrl"/>
    <x:tableColumn id="8" name="wtfpRelevance"/>
    <x:tableColumn id="9" name="assignedTool"/>
    <x:tableColumn id="10" name="sourceDocument"/>
    <x:tableColumn id="11" name="sourceCategory"/>
    <x:tableColumn id="12" name="sourceDetail"/>
    <x:tableColumn id="13" name="sourceCitation"/>
    <x:tableColumn id="14" name="documentedYears"/>
    <x:tableColumn id="15" name="awardAmount"/>
    <x:tableColumn id="16" name="traineesFunded"/>
    <x:tableColumn id="17" name="jobProjection"/>
    <x:tableColumn id="18" name="decisionMakerFirstName"/>
    <x:tableColumn id="19" name="decisionMakerLastName"/>
    <x:tableColumn id="20" name="title"/>
    <x:tableColumn id="21" name="linkedinUrl"/>
    <x:tableColumn id="22" name="discoveredEmail"/>
    <x:tableColumn id="23" name="emailSource"/>
    <x:tableColumn id="24" name="matchConfidence"/>
    <x:tableColumn id="25" name="reviewStatus"/>
    <x:tableColumn id="26" name="research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olloQueueTable" displayName="ApolloQueueTable" ref="A4:I63" headerRowCount="1" totalsRowCount="0" totalsRowShown="0">
  <x:tableColumns count="9">
    <x:tableColumn id="1" name="queueNumber"/>
    <x:tableColumn id="2" name="masterRow"/>
    <x:tableColumn id="3" name="company"/>
    <x:tableColumn id="4" name="city"/>
    <x:tableColumn id="5" name="sourceCategory"/>
    <x:tableColumn id="6" name="sourceDetail"/>
    <x:tableColumn id="7" name="sourceCitation"/>
    <x:tableColumn id="8" name="sourceUrlStatus"/>
    <x:tableColumn id="9" name="review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speoQueueTable" displayName="ProspeoQueueTable" ref="A4:I74" headerRowCount="1" totalsRowCount="0" totalsRowShown="0">
  <x:tableColumns count="9">
    <x:tableColumn id="1" name="queueNumber"/>
    <x:tableColumn id="2" name="masterRow"/>
    <x:tableColumn id="3" name="company"/>
    <x:tableColumn id="4" name="city"/>
    <x:tableColumn id="5" name="sourceCategory"/>
    <x:tableColumn id="6" name="sourceDetail"/>
    <x:tableColumn id="7" name="sourceCitation"/>
    <x:tableColumn id="8" name="sourceUrlStatus"/>
    <x:tableColumn id="9" name="review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krappQueueTable" displayName="SkrappQueueTable" ref="A4:I54" headerRowCount="1" totalsRowCount="0" totalsRowShown="0">
  <x:tableColumns count="9">
    <x:tableColumn id="1" name="queueNumber"/>
    <x:tableColumn id="2" name="masterRow"/>
    <x:tableColumn id="3" name="company"/>
    <x:tableColumn id="4" name="city"/>
    <x:tableColumn id="5" name="sourceCategory"/>
    <x:tableColumn id="6" name="sourceDetail"/>
    <x:tableColumn id="7" name="sourceCitation"/>
    <x:tableColumn id="8" name="sourceUrlStatus"/>
    <x:tableColumn id="9" name="review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novQueueTable" displayName="SnovQueueTable" ref="A4:I54" headerRowCount="1" totalsRowCount="0" totalsRowShown="0">
  <x:tableColumns count="9">
    <x:tableColumn id="1" name="queueNumber"/>
    <x:tableColumn id="2" name="masterRow"/>
    <x:tableColumn id="3" name="company"/>
    <x:tableColumn id="4" name="city"/>
    <x:tableColumn id="5" name="sourceCategory"/>
    <x:tableColumn id="6" name="sourceDetail"/>
    <x:tableColumn id="7" name="sourceCitation"/>
    <x:tableColumn id="8" name="sourceUrlStatus"/>
    <x:tableColumn id="9" name="review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oldReviewTable" displayName="HoldReviewTable" ref="A4:L33" headerRowCount="1" totalsRowCount="0" totalsRowShown="0">
  <x:tableColumns count="12">
    <x:tableColumn id="1" name="company"/>
    <x:tableColumn id="2" name="city"/>
    <x:tableColumn id="3" name="state"/>
    <x:tableColumn id="4" name="holdCategory"/>
    <x:tableColumn id="5" name="pathways"/>
    <x:tableColumn id="6" name="partners"/>
    <x:tableColumn id="7" name="awardAmount"/>
    <x:tableColumn id="8" name="sourceCitation"/>
    <x:tableColumn id="9" name="sourceDocument"/>
    <x:tableColumn id="10" name="reviewStatus"/>
    <x:tableColumn id="11" name="holdReason"/>
    <x:tableColumn id="12" name="research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ortReadyTable" displayName="ImportReadyTable" ref="A1:H230" headerRowCount="1" totalsRowCount="0" totalsRowShown="0">
  <x:tableColumns count="8">
    <x:tableColumn id="1" name="company"/>
    <x:tableColumn id="2" name="website"/>
    <x:tableColumn id="3" name="industry"/>
    <x:tableColumn id="4" name="city"/>
    <x:tableColumn id="5" name="state"/>
    <x:tableColumn id="6" name="employeeSize"/>
    <x:tableColumn id="7" name="sourceUrl"/>
    <x:tableColumn id="8" name="wtfp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99e38cd934e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df46c14a741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6eba5951ec4e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2659b8c111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554741a5d44b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e4185d2d3b4e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27e9c3f50844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</x:cols>
  <x:sheetData>
    <x:row r="1">
      <x:c r="A1" s="56" t="str">
        <x:v>Prospect Research Staging Workbook</x:v>
      </x:c>
      <x:c r="B1" s="56"/>
      <x:c r="C1" s="56"/>
      <x:c r="D1" s="56"/>
      <x:c r="E1" s="56"/>
      <x:c r="F1" s="56"/>
      <x:c r="G1" s="56"/>
      <x:c r="H1" s="56"/>
    </x:row>
    <x:row r="2" ht="36" customHeight="1">
      <x:c r="A2" s="57" t="str">
        <x:v>Source of truth for 229 employer prospects. Work in MASTER_QUEUE; the four tool tabs are exact read-only assignments.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34" customHeight="1">
      <x:c r="A4" s="59" t="str">
        <x:v>Tool</x:v>
      </x:c>
      <x:c r="B4" s="60" t="str">
        <x:v>Assigned</x:v>
      </x:c>
      <x:c r="C4" s="60" t="str">
        <x:v>Completed</x:v>
      </x:c>
      <x:c r="D4" s="60" t="str">
        <x:v>Ready</x:v>
      </x:c>
      <x:c r="E4" s="60" t="str">
        <x:v>Free-plan operating budget</x:v>
      </x:c>
      <x:c r="F4" s="60" t="str">
        <x:v>Primary job</x:v>
      </x:c>
      <x:c r="G4" s="60" t="str">
        <x:v>Edit where?</x:v>
      </x:c>
      <x:c r="H4" s="61" t="str">
        <x:v>Important rule</x:v>
      </x:c>
    </x:row>
    <x:row r="5" ht="54" customHeight="1">
      <x:c r="A5" s="62" t="str">
        <x:v>Apollo</x:v>
      </x:c>
      <x:c r="B5" s="63" t="n">
        <x:f>COUNTIF('MASTER_QUEUE'!$I$2:$I$230,A5)</x:f>
        <x:v>59</x:v>
      </x:c>
      <x:c r="C5" s="63" t="n">
        <x:f>COUNTIFS('MASTER_QUEUE'!$I$2:$I$230,A5,'MASTER_QUEUE'!$Y$2:$Y$230,"&lt;&gt;Not Started")</x:f>
        <x:v>0</x:v>
      </x:c>
      <x:c r="D5" s="63" t="n">
        <x:f>COUNTIFS('MASTER_QUEUE'!$I$2:$I$230,A5,'MASTER_QUEUE'!$Y$2:$Y$230,"Ready")</x:f>
        <x:v>0</x:v>
      </x:c>
      <x:c r="E5" s="62" t="str">
        <x:v>No email reveals in the first pass</x:v>
      </x:c>
      <x:c r="F5" s="62" t="str">
        <x:v>Company + decision-maker research</x:v>
      </x:c>
      <x:c r="G5" s="62" t="str">
        <x:v>MASTER_QUEUE</x:v>
      </x:c>
      <x:c r="H5" s="62" t="str">
        <x:v>Use web UI; capture LinkedIn only</x:v>
      </x:c>
    </x:row>
    <x:row r="6" ht="54" customHeight="1">
      <x:c r="A6" s="64" t="str">
        <x:v>Prospeo</x:v>
      </x:c>
      <x:c r="B6" s="65" t="n">
        <x:f>COUNTIF('MASTER_QUEUE'!$I$2:$I$230,A6)</x:f>
        <x:v>70</x:v>
      </x:c>
      <x:c r="C6" s="65" t="n">
        <x:f>COUNTIFS('MASTER_QUEUE'!$I$2:$I$230,A6,'MASTER_QUEUE'!$Y$2:$Y$230,"&lt;&gt;Not Started")</x:f>
        <x:v>0</x:v>
      </x:c>
      <x:c r="D6" s="65" t="n">
        <x:f>COUNTIFS('MASTER_QUEUE'!$I$2:$I$230,A6,'MASTER_QUEUE'!$Y$2:$Y$230,"Ready")</x:f>
        <x:v>0</x:v>
      </x:c>
      <x:c r="E6" s="64" t="str">
        <x:v>100 credits/month (verify current plan)</x:v>
      </x:c>
      <x:c r="F6" s="64" t="str">
        <x:v>70 company matches; one reveal only when useful</x:v>
      </x:c>
      <x:c r="G6" s="64" t="str">
        <x:v>MASTER_QUEUE</x:v>
      </x:c>
      <x:c r="H6" s="64" t="str">
        <x:v>Reserve credits; do not bulk reveal</x:v>
      </x:c>
    </x:row>
    <x:row r="7" ht="54" customHeight="1">
      <x:c r="A7" s="64" t="str">
        <x:v>Skrapp</x:v>
      </x:c>
      <x:c r="B7" s="65" t="n">
        <x:f>COUNTIF('MASTER_QUEUE'!$I$2:$I$230,A7)</x:f>
        <x:v>50</x:v>
      </x:c>
      <x:c r="C7" s="65" t="n">
        <x:f>COUNTIFS('MASTER_QUEUE'!$I$2:$I$230,A7,'MASTER_QUEUE'!$Y$2:$Y$230,"&lt;&gt;Not Started")</x:f>
        <x:v>0</x:v>
      </x:c>
      <x:c r="D7" s="65" t="n">
        <x:f>COUNTIFS('MASTER_QUEUE'!$I$2:$I$230,A7,'MASTER_QUEUE'!$Y$2:$Y$230,"Ready")</x:f>
        <x:v>0</x:v>
      </x:c>
      <x:c r="E7" s="64" t="str">
        <x:v>50 credits/month; daily search caps (verify current plan)</x:v>
      </x:c>
      <x:c r="F7" s="64" t="str">
        <x:v>50 company + people searches</x:v>
      </x:c>
      <x:c r="G7" s="64" t="str">
        <x:v>MASTER_QUEUE</x:v>
      </x:c>
      <x:c r="H7" s="64" t="str">
        <x:v>One email maximum per matched company</x:v>
      </x:c>
    </x:row>
    <x:row r="8" ht="54" customHeight="1">
      <x:c r="A8" s="64" t="str">
        <x:v>Snov</x:v>
      </x:c>
      <x:c r="B8" s="65" t="n">
        <x:f>COUNTIF('MASTER_QUEUE'!$I$2:$I$230,A8)</x:f>
        <x:v>50</x:v>
      </x:c>
      <x:c r="C8" s="65" t="n">
        <x:f>COUNTIFS('MASTER_QUEUE'!$I$2:$I$230,A8,'MASTER_QUEUE'!$Y$2:$Y$230,"&lt;&gt;Not Started")</x:f>
        <x:v>0</x:v>
      </x:c>
      <x:c r="D8" s="65" t="n">
        <x:f>COUNTIFS('MASTER_QUEUE'!$I$2:$I$230,A8,'MASTER_QUEUE'!$Y$2:$Y$230,"Ready")</x:f>
        <x:v>0</x:v>
      </x:c>
      <x:c r="E8" s="64" t="str">
        <x:v>50 credits/month (verify current plan)</x:v>
      </x:c>
      <x:c r="F8" s="64" t="str">
        <x:v>50 company prospect lookups</x:v>
      </x:c>
      <x:c r="G8" s="64" t="str">
        <x:v>MASTER_QUEUE</x:v>
      </x:c>
      <x:c r="H8" s="64" t="str">
        <x:v>Spend one credit per assigned company at most</x:v>
      </x:c>
    </x:row>
    <x:row r="9" ht="54" customHeight="1">
      <x:c r="A9" s="66" t="str">
        <x:v>Hold</x:v>
      </x:c>
      <x:c r="B9" s="67" t="n">
        <x:v>29</x:v>
      </x:c>
      <x:c r="C9" s="67" t="n">
        <x:f>COUNTIF('HOLD_REVIEW_29'!$J$5:$J$33,"&lt;&gt;Hold")</x:f>
        <x:v>0</x:v>
      </x:c>
      <x:c r="D9" s="67" t="n">
        <x:f>COUNTIF('HOLD_REVIEW_29'!$J$5:$J$33,"Promote")</x:f>
        <x:v>0</x:v>
      </x:c>
      <x:c r="E9" s="66" t="str">
        <x:v>No credits</x:v>
      </x:c>
      <x:c r="F9" s="66" t="str">
        <x:v>29 institution-led records</x:v>
      </x:c>
      <x:c r="G9" s="66" t="str">
        <x:v>HOLD_REVIEW_29</x:v>
      </x:c>
      <x:c r="H9" s="66" t="str">
        <x:v>Do not load into campaign without review</x:v>
      </x:c>
    </x:row>
    <x:row r="10">
      <x:c r="A10" s="58"/>
      <x:c r="B10" s="58"/>
      <x:c r="C10" s="58"/>
      <x:c r="D10" s="58"/>
      <x:c r="E10" s="58"/>
      <x:c r="F10" s="58"/>
      <x:c r="G10" s="58"/>
      <x:c r="H10" s="58"/>
    </x:row>
    <x:row r="11">
      <x:c r="A11" s="58"/>
      <x:c r="B11" s="58"/>
      <x:c r="C11" s="58"/>
      <x:c r="D11" s="58"/>
      <x:c r="E11" s="58"/>
      <x:c r="F11" s="58"/>
      <x:c r="G11" s="58"/>
      <x:c r="H11" s="58"/>
    </x:row>
    <x:row r="12">
      <x:c r="A12" s="68" t="str">
        <x:v>Operating workflow</x:v>
      </x:c>
      <x:c r="B12" s="68"/>
      <x:c r="C12" s="68"/>
      <x:c r="D12" s="68"/>
      <x:c r="E12" s="68"/>
      <x:c r="F12" s="68"/>
      <x:c r="G12" s="68"/>
      <x:c r="H12" s="68"/>
    </x:row>
    <x:row r="13" ht="40" customHeight="1">
      <x:c r="A13" s="69" t="str">
        <x:v>1</x:v>
      </x:c>
      <x:c r="B13" s="70" t="str">
        <x:v>Choose the next Not Started row for the assigned tool in MASTER_QUEUE. Use the matching tool tab only to see the exact queue.</x:v>
      </x:c>
      <x:c r="C13" s="70"/>
      <x:c r="D13" s="70"/>
      <x:c r="E13" s="70"/>
      <x:c r="F13" s="70"/>
      <x:c r="G13" s="70"/>
      <x:c r="H13" s="70"/>
    </x:row>
    <x:row r="14" ht="40" customHeight="1">
      <x:c r="A14" s="69" t="str">
        <x:v>2</x:v>
      </x:c>
      <x:c r="B14" s="70" t="str">
        <x:v>Confirm the company by exact/legal name plus Massachusetts city. Record the official domain, industry, and displayed employee-size range.</x:v>
      </x:c>
      <x:c r="C14" s="70"/>
      <x:c r="D14" s="70"/>
      <x:c r="E14" s="70"/>
      <x:c r="F14" s="70"/>
      <x:c r="G14" s="70"/>
      <x:c r="H14" s="70"/>
    </x:row>
    <x:row r="15" ht="40" customHeight="1">
      <x:c r="A15" s="69" t="str">
        <x:v>3</x:v>
      </x:c>
      <x:c r="B15" s="70" t="str">
        <x:v>Find one decision-maker. Priority: owner/founder/CEO/president/COO/general manager, then HR/training/L&amp;D leadership.</x:v>
      </x:c>
      <x:c r="C15" s="70"/>
      <x:c r="D15" s="70"/>
      <x:c r="E15" s="70"/>
      <x:c r="F15" s="70"/>
      <x:c r="G15" s="70"/>
      <x:c r="H15" s="70"/>
    </x:row>
    <x:row r="16" ht="40" customHeight="1">
      <x:c r="A16" s="69" t="str">
        <x:v>4</x:v>
      </x:c>
      <x:c r="B16" s="70" t="str">
        <x:v>Record first name, last name, title, and linkedinUrl. Reveal no more than one business email for the company, and record its source.</x:v>
      </x:c>
      <x:c r="C16" s="70"/>
      <x:c r="D16" s="70"/>
      <x:c r="E16" s="70"/>
      <x:c r="F16" s="70"/>
      <x:c r="G16" s="70"/>
      <x:c r="H16" s="70"/>
    </x:row>
    <x:row r="17" ht="40" customHeight="1">
      <x:c r="A17" s="69" t="str">
        <x:v>5</x:v>
      </x:c>
      <x:c r="B17" s="70" t="str">
        <x:v>Set matchConfidence. High = company/domain/location and person/title all agree. Medium = defensible mismatch documented. Low = needs review.</x:v>
      </x:c>
      <x:c r="C17" s="70"/>
      <x:c r="D17" s="70"/>
      <x:c r="E17" s="70"/>
      <x:c r="F17" s="70"/>
      <x:c r="G17" s="70"/>
      <x:c r="H17" s="70"/>
    </x:row>
    <x:row r="18" ht="40" customHeight="1">
      <x:c r="A18" s="69" t="str">
        <x:v>6</x:v>
      </x:c>
      <x:c r="B18" s="70" t="str">
        <x:v>Set reviewStatus to Ready only after website, industry, employeeSize, sourceUrl, decision-maker identity, title, and linkedinUrl are complete.</x:v>
      </x:c>
      <x:c r="C18" s="70"/>
      <x:c r="D18" s="70"/>
      <x:c r="E18" s="70"/>
      <x:c r="F18" s="70"/>
      <x:c r="G18" s="70"/>
      <x:c r="H18" s="70"/>
    </x:row>
    <x:row r="19" ht="40" customHeight="1">
      <x:c r="A19" s="69" t="str">
        <x:v>7</x:v>
      </x:c>
      <x:c r="B19" s="70" t="str">
        <x:v>IMPORT_READY automatically exposes the first eight campaign fields for Ready rows. Filter out blank company cells before copying to COMPANIES.</x:v>
      </x:c>
      <x:c r="C19" s="70"/>
      <x:c r="D19" s="70"/>
      <x:c r="E19" s="70"/>
      <x:c r="F19" s="70"/>
      <x:c r="G19" s="70"/>
      <x:c r="H19" s="70"/>
    </x:row>
    <x:row r="20">
      <x:c r="A20" s="58"/>
      <x:c r="B20" s="58"/>
      <x:c r="C20" s="58"/>
      <x:c r="D20" s="58"/>
      <x:c r="E20" s="58"/>
      <x:c r="F20" s="58"/>
      <x:c r="G20" s="58"/>
      <x:c r="H20" s="58"/>
    </x:row>
    <x:row r="21">
      <x:c r="A21" s="58"/>
      <x:c r="B21" s="58"/>
      <x:c r="C21" s="58"/>
      <x:c r="D21" s="58"/>
      <x:c r="E21" s="58"/>
      <x:c r="F21" s="58"/>
      <x:c r="G21" s="58"/>
      <x:c r="H21" s="58"/>
    </x:row>
    <x:row r="22">
      <x:c r="A22" s="71" t="str">
        <x:v>Quality gate</x:v>
      </x:c>
      <x:c r="B22" s="71"/>
      <x:c r="C22" s="71"/>
      <x:c r="D22" s="71"/>
      <x:c r="E22" s="71"/>
      <x:c r="F22" s="71"/>
      <x:c r="G22" s="71"/>
      <x:c r="H22" s="71"/>
    </x:row>
    <x:row r="23" ht="60" customHeight="1">
      <x:c r="A23" s="72" t="str">
        <x:v>Ready means</x:v>
      </x:c>
      <x:c r="B23" s="62" t="str">
        <x:v>Official company match</x:v>
      </x:c>
      <x:c r="C23" s="62" t="str">
        <x:v>MA confirmed</x:v>
      </x:c>
      <x:c r="D23" s="62" t="str">
        <x:v>Website + source URL</x:v>
      </x:c>
      <x:c r="E23" s="62" t="str">
        <x:v>Industry + size</x:v>
      </x:c>
      <x:c r="F23" s="62" t="str">
        <x:v>One relevant person</x:v>
      </x:c>
      <x:c r="G23" s="62" t="str">
        <x:v>LinkedIn URL</x:v>
      </x:c>
      <x:c r="H23" s="62" t="str">
        <x:v>Notes explain any mismatch</x:v>
      </x:c>
    </x:row>
    <x:row r="24" ht="60" customHeight="1">
      <x:c r="A24" s="73" t="str">
        <x:v>Never guess</x:v>
      </x:c>
      <x:c r="B24" s="64" t="str">
        <x:v>Do not infer a domain from a name</x:v>
      </x:c>
      <x:c r="C24" s="64" t="str">
        <x:v>Do not use personal email</x:v>
      </x:c>
      <x:c r="D24" s="64" t="str">
        <x:v>Do not spend two credits on one company</x:v>
      </x:c>
      <x:c r="E24" s="64" t="str">
        <x:v>Do not move hold records silently</x:v>
      </x:c>
      <x:c r="F24" s="64" t="str">
        <x:v>Do not mark Low confidence Ready</x:v>
      </x:c>
      <x:c r="G24" s="64" t="str">
        <x:v>Do not verify now</x:v>
      </x:c>
      <x:c r="H24" s="64" t="str">
        <x:v>Do not import blank formula rows</x:v>
      </x:c>
    </x:row>
    <x:row r="25" ht="60" customHeight="1">
      <x:c r="A25" s="74" t="str">
        <x:v>Email handling</x:v>
      </x:c>
      <x:c r="B25" s="66" t="str">
        <x:v>A discovered email is optional during company research</x:v>
      </x:c>
      <x:c r="C25" s="66" t="str">
        <x:v>Final verification is a separate step</x:v>
      </x:c>
      <x:c r="D25" s="66" t="str">
        <x:v>No outreach from research tools</x:v>
      </x:c>
      <x:c r="E25" s="66" t="str">
        <x:v>No warm-up in research tools</x:v>
      </x:c>
      <x:c r="F25" s="66" t="str">
        <x:v>No mailbox connection required</x:v>
      </x:c>
      <x:c r="G25" s="66" t="str">
        <x:v>No bulk uploads to every tool</x:v>
      </x:c>
      <x:c r="H25" s="66" t="str">
        <x:v>One account per service</x:v>
      </x:c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  <x:mergeCell ref="B19:H19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0" hidden="0" customWidth="1"/>
    <x:col min="4" max="4" width="16" hidden="0" customWidth="1"/>
    <x:col min="5" max="5" width="8" hidden="0" customWidth="1"/>
    <x:col min="6" max="6" width="16" hidden="0" customWidth="1"/>
    <x:col min="7" max="7" width="34" hidden="0" customWidth="1"/>
    <x:col min="8" max="8" width="15" hidden="0" customWidth="1"/>
    <x:col min="9" max="9" width="14" hidden="0" customWidth="1"/>
    <x:col min="10" max="10" width="18" hidden="0" customWidth="1"/>
    <x:col min="11" max="11" width="23" hidden="0" customWidth="1"/>
    <x:col min="12" max="12" width="24" hidden="0" customWidth="1"/>
    <x:col min="13" max="13" width="20" hidden="0" customWidth="1"/>
    <x:col min="14" max="14" width="17" hidden="0" customWidth="1"/>
    <x:col min="15" max="15" width="15" hidden="0" customWidth="1"/>
    <x:col min="16" max="16" width="15" hidden="0" customWidth="1"/>
    <x:col min="17" max="17" width="23" hidden="0" customWidth="1"/>
    <x:col min="18" max="18" width="23" hidden="0" customWidth="1"/>
    <x:col min="19" max="19" width="22" hidden="0" customWidth="1"/>
    <x:col min="20" max="20" width="24" hidden="0" customWidth="1"/>
    <x:col min="21" max="21" width="34" hidden="0" customWidth="1"/>
    <x:col min="22" max="22" width="30" hidden="0" customWidth="1"/>
    <x:col min="23" max="23" width="16" hidden="0" customWidth="1"/>
    <x:col min="24" max="24" width="17" hidden="0" customWidth="1"/>
    <x:col min="25" max="25" width="18" hidden="0" customWidth="1"/>
    <x:col min="26" max="26" width="44" hidden="0" customWidth="1"/>
  </x:cols>
  <x:sheetData>
    <x:row r="1" ht="34" customHeight="1">
      <x:c r="A1" s="19" t="str">
        <x:v>company</x:v>
      </x:c>
      <x:c r="B1" s="20" t="str">
        <x:v>website</x:v>
      </x:c>
      <x:c r="C1" s="20" t="str">
        <x:v>industry</x:v>
      </x:c>
      <x:c r="D1" s="20" t="str">
        <x:v>city</x:v>
      </x:c>
      <x:c r="E1" s="20" t="str">
        <x:v>state</x:v>
      </x:c>
      <x:c r="F1" s="20" t="str">
        <x:v>employeeSize</x:v>
      </x:c>
      <x:c r="G1" s="20" t="str">
        <x:v>sourceUrl</x:v>
      </x:c>
      <x:c r="H1" s="20" t="str">
        <x:v>wtfpRelevance</x:v>
      </x:c>
      <x:c r="I1" s="20" t="str">
        <x:v>assignedTool</x:v>
      </x:c>
      <x:c r="J1" s="20" t="str">
        <x:v>sourceDocument</x:v>
      </x:c>
      <x:c r="K1" s="20" t="str">
        <x:v>sourceCategory</x:v>
      </x:c>
      <x:c r="L1" s="20" t="str">
        <x:v>sourceDetail</x:v>
      </x:c>
      <x:c r="M1" s="20" t="str">
        <x:v>sourceCitation</x:v>
      </x:c>
      <x:c r="N1" s="20" t="str">
        <x:v>documentedYears</x:v>
      </x:c>
      <x:c r="O1" s="20" t="str">
        <x:v>awardAmount</x:v>
      </x:c>
      <x:c r="P1" s="20" t="str">
        <x:v>traineesFunded</x:v>
      </x:c>
      <x:c r="Q1" s="20" t="str">
        <x:v>jobProjection</x:v>
      </x:c>
      <x:c r="R1" s="20" t="str">
        <x:v>decisionMakerFirstName</x:v>
      </x:c>
      <x:c r="S1" s="20" t="str">
        <x:v>decisionMakerLastName</x:v>
      </x:c>
      <x:c r="T1" s="20" t="str">
        <x:v>title</x:v>
      </x:c>
      <x:c r="U1" s="20" t="str">
        <x:v>linkedinUrl</x:v>
      </x:c>
      <x:c r="V1" s="20" t="str">
        <x:v>discoveredEmail</x:v>
      </x:c>
      <x:c r="W1" s="20" t="str">
        <x:v>emailSource</x:v>
      </x:c>
      <x:c r="X1" s="20" t="str">
        <x:v>matchConfidence</x:v>
      </x:c>
      <x:c r="Y1" s="20" t="str">
        <x:v>reviewStatus</x:v>
      </x:c>
      <x:c r="Z1" s="21" t="str">
        <x:v>researchNotes</x:v>
      </x:c>
    </x:row>
    <x:row r="2" ht="22" customHeight="1">
      <x:c r="A2" s="29" t="str">
        <x:v>101 Federal Street, LLC</x:v>
      </x:c>
      <x:c r="B2" s="29" t="str"/>
      <x:c r="C2" s="29" t="str"/>
      <x:c r="D2" s="29" t="str">
        <x:v>Boston</x:v>
      </x:c>
      <x:c r="E2" s="29" t="str">
        <x:v>MA</x:v>
      </x:c>
      <x:c r="F2" s="29" t="str"/>
      <x:c r="G2" s="29" t="str">
        <x:v>https://docs.google.com/spreadsheets/d/1Ns01a6n2IrCh1jhWsSbXCwKrbzXkwslYkbMww9RBetk/edit?gid=0</x:v>
      </x:c>
      <x:c r="H2" s="92" t="b">
        <x:v>1</x:v>
      </x:c>
      <x:c r="I2" s="29" t="str">
        <x:v>Apollo</x:v>
      </x:c>
      <x:c r="J2" s="29" t="str">
        <x:v>ChatGPT.docx</x:v>
      </x:c>
      <x:c r="K2" s="29" t="str">
        <x:v>Verified Express grant</x:v>
      </x:c>
      <x:c r="L2" s="29" t="str">
        <x:v>Express grant</x:v>
      </x:c>
      <x:c r="M2" s="29" t="str">
        <x:v>CommCorp grantee sheet [13]</x:v>
      </x:c>
      <x:c r="N2" s="29" t="str">
        <x:v>2024, 2025</x:v>
      </x:c>
      <x:c r="O2" s="86"/>
      <x:c r="P2" s="89"/>
      <x:c r="Q2" s="29" t="str"/>
      <x:c r="R2" s="29" t="str"/>
      <x:c r="S2" s="29" t="str"/>
      <x:c r="T2" s="29" t="str"/>
      <x:c r="U2" s="29" t="str"/>
      <x:c r="V2" s="29" t="str"/>
      <x:c r="W2" s="29" t="str"/>
      <x:c r="X2" s="29" t="str"/>
      <x:c r="Y2" s="29" t="str">
        <x:v>Not Started</x:v>
      </x:c>
      <x:c r="Z2" s="29" t="str"/>
    </x:row>
    <x:row r="3" ht="22" customHeight="1">
      <x:c r="A3" s="30" t="str">
        <x:v>11 Compliance Consulting Corp</x:v>
      </x:c>
      <x:c r="B3" s="30" t="str"/>
      <x:c r="C3" s="30" t="str"/>
      <x:c r="D3" s="30" t="str">
        <x:v>Swansea</x:v>
      </x:c>
      <x:c r="E3" s="30" t="str">
        <x:v>MA</x:v>
      </x:c>
      <x:c r="F3" s="30" t="str"/>
      <x:c r="G3" s="30" t="str">
        <x:v>https://docs.google.com/spreadsheets/d/1Ns01a6n2IrCh1jhWsSbXCwKrbzXkwslYkbMww9RBetk/edit?gid=0</x:v>
      </x:c>
      <x:c r="H3" s="93" t="b">
        <x:v>1</x:v>
      </x:c>
      <x:c r="I3" s="30" t="str">
        <x:v>Apollo</x:v>
      </x:c>
      <x:c r="J3" s="30" t="str">
        <x:v>ChatGPT.docx</x:v>
      </x:c>
      <x:c r="K3" s="30" t="str">
        <x:v>Verified Express grant</x:v>
      </x:c>
      <x:c r="L3" s="30" t="str">
        <x:v>Express grant</x:v>
      </x:c>
      <x:c r="M3" s="30" t="str">
        <x:v>CommCorp grantee sheet [13]</x:v>
      </x:c>
      <x:c r="N3" s="30" t="str">
        <x:v>2023, 2024, 2025</x:v>
      </x:c>
      <x:c r="O3" s="87"/>
      <x:c r="P3" s="90"/>
      <x:c r="Q3" s="30" t="str"/>
      <x:c r="R3" s="30" t="str"/>
      <x:c r="S3" s="30" t="str"/>
      <x:c r="T3" s="30" t="str"/>
      <x:c r="U3" s="30" t="str"/>
      <x:c r="V3" s="30" t="str"/>
      <x:c r="W3" s="30" t="str"/>
      <x:c r="X3" s="30" t="str"/>
      <x:c r="Y3" s="30" t="str">
        <x:v>Not Started</x:v>
      </x:c>
      <x:c r="Z3" s="30" t="str"/>
    </x:row>
    <x:row r="4" ht="22" customHeight="1">
      <x:c r="A4" s="30" t="str">
        <x:v>12 Penny Exteriors, Inc.</x:v>
      </x:c>
      <x:c r="B4" s="30" t="str"/>
      <x:c r="C4" s="30" t="str"/>
      <x:c r="D4" s="30" t="str">
        <x:v>Littleton</x:v>
      </x:c>
      <x:c r="E4" s="30" t="str">
        <x:v>MA</x:v>
      </x:c>
      <x:c r="F4" s="30" t="str"/>
      <x:c r="G4" s="30" t="str">
        <x:v>https://docs.google.com/spreadsheets/d/1Ns01a6n2IrCh1jhWsSbXCwKrbzXkwslYkbMww9RBetk/edit?gid=0</x:v>
      </x:c>
      <x:c r="H4" s="93" t="b">
        <x:v>1</x:v>
      </x:c>
      <x:c r="I4" s="30" t="str">
        <x:v>Apollo</x:v>
      </x:c>
      <x:c r="J4" s="30" t="str">
        <x:v>ChatGPT.docx</x:v>
      </x:c>
      <x:c r="K4" s="30" t="str">
        <x:v>Verified Express grant</x:v>
      </x:c>
      <x:c r="L4" s="30" t="str">
        <x:v>Express grant</x:v>
      </x:c>
      <x:c r="M4" s="30" t="str">
        <x:v>CommCorp grantee sheet [13]</x:v>
      </x:c>
      <x:c r="N4" s="30" t="str">
        <x:v>2023, 2024, 2025</x:v>
      </x:c>
      <x:c r="O4" s="87"/>
      <x:c r="P4" s="90"/>
      <x:c r="Q4" s="30" t="str"/>
      <x:c r="R4" s="30" t="str"/>
      <x:c r="S4" s="30" t="str"/>
      <x:c r="T4" s="30" t="str"/>
      <x:c r="U4" s="30" t="str"/>
      <x:c r="V4" s="30" t="str"/>
      <x:c r="W4" s="30" t="str"/>
      <x:c r="X4" s="30" t="str"/>
      <x:c r="Y4" s="30" t="str">
        <x:v>Not Started</x:v>
      </x:c>
      <x:c r="Z4" s="30" t="str"/>
    </x:row>
    <x:row r="5" ht="22" customHeight="1">
      <x:c r="A5" s="30" t="str">
        <x:v>1369 LLC</x:v>
      </x:c>
      <x:c r="B5" s="30" t="str"/>
      <x:c r="C5" s="30" t="str"/>
      <x:c r="D5" s="30" t="str">
        <x:v>Cambridge</x:v>
      </x:c>
      <x:c r="E5" s="30" t="str">
        <x:v>MA</x:v>
      </x:c>
      <x:c r="F5" s="30" t="str"/>
      <x:c r="G5" s="30" t="str">
        <x:v>https://docs.google.com/spreadsheets/d/1Ns01a6n2IrCh1jhWsSbXCwKrbzXkwslYkbMww9RBetk/edit?gid=0</x:v>
      </x:c>
      <x:c r="H5" s="93" t="b">
        <x:v>1</x:v>
      </x:c>
      <x:c r="I5" s="30" t="str">
        <x:v>Apollo</x:v>
      </x:c>
      <x:c r="J5" s="30" t="str">
        <x:v>ChatGPT.docx</x:v>
      </x:c>
      <x:c r="K5" s="30" t="str">
        <x:v>Verified Express grant</x:v>
      </x:c>
      <x:c r="L5" s="30" t="str">
        <x:v>Express grant</x:v>
      </x:c>
      <x:c r="M5" s="30" t="str">
        <x:v>CommCorp grantee sheet [13]</x:v>
      </x:c>
      <x:c r="N5" s="30" t="str">
        <x:v>2025</x:v>
      </x:c>
      <x:c r="O5" s="87"/>
      <x:c r="P5" s="90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>
        <x:v>Not Started</x:v>
      </x:c>
      <x:c r="Z5" s="30" t="str"/>
    </x:row>
    <x:row r="6" ht="22" customHeight="1">
      <x:c r="A6" s="30" t="str">
        <x:v>23 French King Highway LLC</x:v>
      </x:c>
      <x:c r="B6" s="30" t="str"/>
      <x:c r="C6" s="30" t="str"/>
      <x:c r="D6" s="30" t="str">
        <x:v>Gill</x:v>
      </x:c>
      <x:c r="E6" s="30" t="str">
        <x:v>MA</x:v>
      </x:c>
      <x:c r="F6" s="30" t="str"/>
      <x:c r="G6" s="30" t="str">
        <x:v>https://docs.google.com/spreadsheets/d/1Ns01a6n2IrCh1jhWsSbXCwKrbzXkwslYkbMww9RBetk/edit?gid=0</x:v>
      </x:c>
      <x:c r="H6" s="93" t="b">
        <x:v>1</x:v>
      </x:c>
      <x:c r="I6" s="30" t="str">
        <x:v>Apollo</x:v>
      </x:c>
      <x:c r="J6" s="30" t="str">
        <x:v>ChatGPT.docx</x:v>
      </x:c>
      <x:c r="K6" s="30" t="str">
        <x:v>Verified Express grant</x:v>
      </x:c>
      <x:c r="L6" s="30" t="str">
        <x:v>Express grant</x:v>
      </x:c>
      <x:c r="M6" s="30" t="str">
        <x:v>CommCorp grantee sheet [13]</x:v>
      </x:c>
      <x:c r="N6" s="30" t="str">
        <x:v>2024</x:v>
      </x:c>
      <x:c r="O6" s="87"/>
      <x:c r="P6" s="90"/>
      <x:c r="Q6" s="30" t="str"/>
      <x:c r="R6" s="30" t="str"/>
      <x:c r="S6" s="30" t="str"/>
      <x:c r="T6" s="30" t="str"/>
      <x:c r="U6" s="30" t="str"/>
      <x:c r="V6" s="30" t="str"/>
      <x:c r="W6" s="30" t="str"/>
      <x:c r="X6" s="30" t="str"/>
      <x:c r="Y6" s="30" t="str">
        <x:v>Not Started</x:v>
      </x:c>
      <x:c r="Z6" s="30" t="str"/>
    </x:row>
    <x:row r="7" ht="22" customHeight="1">
      <x:c r="A7" s="30" t="str">
        <x:v>28 Freight LLC</x:v>
      </x:c>
      <x:c r="B7" s="30" t="str"/>
      <x:c r="C7" s="30" t="str"/>
      <x:c r="D7" s="30" t="str">
        <x:v>Wilmington</x:v>
      </x:c>
      <x:c r="E7" s="30" t="str">
        <x:v>MA</x:v>
      </x:c>
      <x:c r="F7" s="30" t="str"/>
      <x:c r="G7" s="30" t="str">
        <x:v>https://docs.google.com/spreadsheets/d/1Ns01a6n2IrCh1jhWsSbXCwKrbzXkwslYkbMww9RBetk/edit?gid=0</x:v>
      </x:c>
      <x:c r="H7" s="93" t="b">
        <x:v>1</x:v>
      </x:c>
      <x:c r="I7" s="30" t="str">
        <x:v>Apollo</x:v>
      </x:c>
      <x:c r="J7" s="30" t="str">
        <x:v>ChatGPT.docx</x:v>
      </x:c>
      <x:c r="K7" s="30" t="str">
        <x:v>Verified Express grant</x:v>
      </x:c>
      <x:c r="L7" s="30" t="str">
        <x:v>Express grant</x:v>
      </x:c>
      <x:c r="M7" s="30" t="str">
        <x:v>CommCorp grantee sheet [13]</x:v>
      </x:c>
      <x:c r="N7" s="30" t="str">
        <x:v>2025</x:v>
      </x:c>
      <x:c r="O7" s="87"/>
      <x:c r="P7" s="90"/>
      <x:c r="Q7" s="30" t="str"/>
      <x:c r="R7" s="30" t="str"/>
      <x:c r="S7" s="30" t="str"/>
      <x:c r="T7" s="30" t="str"/>
      <x:c r="U7" s="30" t="str"/>
      <x:c r="V7" s="30" t="str"/>
      <x:c r="W7" s="30" t="str"/>
      <x:c r="X7" s="30" t="str"/>
      <x:c r="Y7" s="30" t="str">
        <x:v>Not Started</x:v>
      </x:c>
      <x:c r="Z7" s="30" t="str"/>
    </x:row>
    <x:row r="8" ht="22" customHeight="1">
      <x:c r="A8" s="30" t="str">
        <x:v>2Gether We Eat Inc</x:v>
      </x:c>
      <x:c r="B8" s="30" t="str"/>
      <x:c r="C8" s="30" t="str"/>
      <x:c r="D8" s="30" t="str">
        <x:v>Worcester</x:v>
      </x:c>
      <x:c r="E8" s="30" t="str">
        <x:v>MA</x:v>
      </x:c>
      <x:c r="F8" s="30" t="str"/>
      <x:c r="G8" s="30" t="str">
        <x:v>https://docs.google.com/spreadsheets/d/1Ns01a6n2IrCh1jhWsSbXCwKrbzXkwslYkbMww9RBetk/edit?gid=0</x:v>
      </x:c>
      <x:c r="H8" s="93" t="b">
        <x:v>1</x:v>
      </x:c>
      <x:c r="I8" s="30" t="str">
        <x:v>Apollo</x:v>
      </x:c>
      <x:c r="J8" s="30" t="str">
        <x:v>ChatGPT.docx</x:v>
      </x:c>
      <x:c r="K8" s="30" t="str">
        <x:v>Verified Express grant</x:v>
      </x:c>
      <x:c r="L8" s="30" t="str">
        <x:v>Express grant</x:v>
      </x:c>
      <x:c r="M8" s="30" t="str">
        <x:v>CommCorp grantee sheet [13]</x:v>
      </x:c>
      <x:c r="N8" s="30" t="str">
        <x:v>2024</x:v>
      </x:c>
      <x:c r="O8" s="87"/>
      <x:c r="P8" s="90"/>
      <x:c r="Q8" s="30" t="str"/>
      <x:c r="R8" s="30" t="str"/>
      <x:c r="S8" s="30" t="str"/>
      <x:c r="T8" s="30" t="str"/>
      <x:c r="U8" s="30" t="str"/>
      <x:c r="V8" s="30" t="str"/>
      <x:c r="W8" s="30" t="str"/>
      <x:c r="X8" s="30" t="str"/>
      <x:c r="Y8" s="30" t="str">
        <x:v>Not Started</x:v>
      </x:c>
      <x:c r="Z8" s="30" t="str"/>
    </x:row>
    <x:row r="9" ht="22" customHeight="1">
      <x:c r="A9" s="30" t="str">
        <x:v>3 Media Web Solutions Inc.</x:v>
      </x:c>
      <x:c r="B9" s="30" t="str"/>
      <x:c r="C9" s="30" t="str"/>
      <x:c r="D9" s="30" t="str">
        <x:v>Boston</x:v>
      </x:c>
      <x:c r="E9" s="30" t="str">
        <x:v>MA</x:v>
      </x:c>
      <x:c r="F9" s="30" t="str"/>
      <x:c r="G9" s="30" t="str">
        <x:v>https://docs.google.com/spreadsheets/d/1Ns01a6n2IrCh1jhWsSbXCwKrbzXkwslYkbMww9RBetk/edit?gid=0</x:v>
      </x:c>
      <x:c r="H9" s="93" t="b">
        <x:v>1</x:v>
      </x:c>
      <x:c r="I9" s="30" t="str">
        <x:v>Apollo</x:v>
      </x:c>
      <x:c r="J9" s="30" t="str">
        <x:v>ChatGPT.docx</x:v>
      </x:c>
      <x:c r="K9" s="30" t="str">
        <x:v>Verified Express grant</x:v>
      </x:c>
      <x:c r="L9" s="30" t="str">
        <x:v>Express grant</x:v>
      </x:c>
      <x:c r="M9" s="30" t="str">
        <x:v>CommCorp grantee sheet [13]</x:v>
      </x:c>
      <x:c r="N9" s="30" t="str">
        <x:v>2024</x:v>
      </x:c>
      <x:c r="O9" s="87"/>
      <x:c r="P9" s="90"/>
      <x:c r="Q9" s="30" t="str"/>
      <x:c r="R9" s="30" t="str"/>
      <x:c r="S9" s="30" t="str"/>
      <x:c r="T9" s="30" t="str"/>
      <x:c r="U9" s="30" t="str"/>
      <x:c r="V9" s="30" t="str"/>
      <x:c r="W9" s="30" t="str"/>
      <x:c r="X9" s="30" t="str"/>
      <x:c r="Y9" s="30" t="str">
        <x:v>Not Started</x:v>
      </x:c>
      <x:c r="Z9" s="30" t="str"/>
    </x:row>
    <x:row r="10" ht="22" customHeight="1">
      <x:c r="A10" s="30" t="str">
        <x:v>4 Insurance LLC</x:v>
      </x:c>
      <x:c r="B10" s="30" t="str"/>
      <x:c r="C10" s="30" t="str"/>
      <x:c r="D10" s="30" t="str">
        <x:v>Salem</x:v>
      </x:c>
      <x:c r="E10" s="30" t="str">
        <x:v>MA</x:v>
      </x:c>
      <x:c r="F10" s="30" t="str"/>
      <x:c r="G10" s="30" t="str">
        <x:v>https://docs.google.com/spreadsheets/d/1Ns01a6n2IrCh1jhWsSbXCwKrbzXkwslYkbMww9RBetk/edit?gid=0</x:v>
      </x:c>
      <x:c r="H10" s="93" t="b">
        <x:v>1</x:v>
      </x:c>
      <x:c r="I10" s="30" t="str">
        <x:v>Apollo</x:v>
      </x:c>
      <x:c r="J10" s="30" t="str">
        <x:v>ChatGPT.docx</x:v>
      </x:c>
      <x:c r="K10" s="30" t="str">
        <x:v>Verified Express grant</x:v>
      </x:c>
      <x:c r="L10" s="30" t="str">
        <x:v>Express grant</x:v>
      </x:c>
      <x:c r="M10" s="30" t="str">
        <x:v>CommCorp grantee sheet [13]</x:v>
      </x:c>
      <x:c r="N10" s="30" t="str">
        <x:v>2023</x:v>
      </x:c>
      <x:c r="O10" s="87"/>
      <x:c r="P10" s="90"/>
      <x:c r="Q10" s="30" t="str"/>
      <x:c r="R10" s="30" t="str"/>
      <x:c r="S10" s="30" t="str"/>
      <x:c r="T10" s="30" t="str"/>
      <x:c r="U10" s="30" t="str"/>
      <x:c r="V10" s="30" t="str"/>
      <x:c r="W10" s="30" t="str"/>
      <x:c r="X10" s="30" t="str"/>
      <x:c r="Y10" s="30" t="str">
        <x:v>Not Started</x:v>
      </x:c>
      <x:c r="Z10" s="30" t="str"/>
    </x:row>
    <x:row r="11" ht="22" customHeight="1">
      <x:c r="A11" s="30" t="str">
        <x:v>413 Theraworks, LLC.</x:v>
      </x:c>
      <x:c r="B11" s="30" t="str"/>
      <x:c r="C11" s="30" t="str"/>
      <x:c r="D11" s="30" t="str">
        <x:v>North Adams</x:v>
      </x:c>
      <x:c r="E11" s="30" t="str">
        <x:v>MA</x:v>
      </x:c>
      <x:c r="F11" s="30" t="str"/>
      <x:c r="G11" s="30" t="str">
        <x:v>https://docs.google.com/spreadsheets/d/1Ns01a6n2IrCh1jhWsSbXCwKrbzXkwslYkbMww9RBetk/edit?gid=0</x:v>
      </x:c>
      <x:c r="H11" s="93" t="b">
        <x:v>1</x:v>
      </x:c>
      <x:c r="I11" s="30" t="str">
        <x:v>Apollo</x:v>
      </x:c>
      <x:c r="J11" s="30" t="str">
        <x:v>ChatGPT.docx</x:v>
      </x:c>
      <x:c r="K11" s="30" t="str">
        <x:v>Verified Express grant</x:v>
      </x:c>
      <x:c r="L11" s="30" t="str">
        <x:v>Express grant</x:v>
      </x:c>
      <x:c r="M11" s="30" t="str">
        <x:v>CommCorp grantee sheet [13]</x:v>
      </x:c>
      <x:c r="N11" s="30" t="str">
        <x:v>2025</x:v>
      </x:c>
      <x:c r="O11" s="87"/>
      <x:c r="P11" s="90"/>
      <x:c r="Q11" s="30" t="str"/>
      <x:c r="R11" s="30" t="str"/>
      <x:c r="S11" s="30" t="str"/>
      <x:c r="T11" s="30" t="str"/>
      <x:c r="U11" s="30" t="str"/>
      <x:c r="V11" s="30" t="str"/>
      <x:c r="W11" s="30" t="str"/>
      <x:c r="X11" s="30" t="str"/>
      <x:c r="Y11" s="30" t="str">
        <x:v>Not Started</x:v>
      </x:c>
      <x:c r="Z11" s="30" t="str"/>
    </x:row>
    <x:row r="12" ht="22" customHeight="1">
      <x:c r="A12" s="30" t="str">
        <x:v>5th Line Capital, LLC</x:v>
      </x:c>
      <x:c r="B12" s="30" t="str"/>
      <x:c r="C12" s="30" t="str"/>
      <x:c r="D12" s="30" t="str">
        <x:v>Boston</x:v>
      </x:c>
      <x:c r="E12" s="30" t="str">
        <x:v>MA</x:v>
      </x:c>
      <x:c r="F12" s="30" t="str"/>
      <x:c r="G12" s="30" t="str">
        <x:v>https://docs.google.com/spreadsheets/d/1Ns01a6n2IrCh1jhWsSbXCwKrbzXkwslYkbMww9RBetk/edit?gid=0</x:v>
      </x:c>
      <x:c r="H12" s="93" t="b">
        <x:v>1</x:v>
      </x:c>
      <x:c r="I12" s="30" t="str">
        <x:v>Apollo</x:v>
      </x:c>
      <x:c r="J12" s="30" t="str">
        <x:v>ChatGPT.docx</x:v>
      </x:c>
      <x:c r="K12" s="30" t="str">
        <x:v>Verified Express grant</x:v>
      </x:c>
      <x:c r="L12" s="30" t="str">
        <x:v>Express grant</x:v>
      </x:c>
      <x:c r="M12" s="30" t="str">
        <x:v>CommCorp grantee sheet [13]</x:v>
      </x:c>
      <x:c r="N12" s="30" t="str">
        <x:v>2023, 2024</x:v>
      </x:c>
      <x:c r="O12" s="87"/>
      <x:c r="P12" s="90"/>
      <x:c r="Q12" s="30" t="str"/>
      <x:c r="R12" s="30" t="str"/>
      <x:c r="S12" s="30" t="str"/>
      <x:c r="T12" s="30" t="str"/>
      <x:c r="U12" s="30" t="str"/>
      <x:c r="V12" s="30" t="str"/>
      <x:c r="W12" s="30" t="str"/>
      <x:c r="X12" s="30" t="str"/>
      <x:c r="Y12" s="30" t="str">
        <x:v>Not Started</x:v>
      </x:c>
      <x:c r="Z12" s="30" t="str"/>
    </x:row>
    <x:row r="13" ht="22" customHeight="1">
      <x:c r="A13" s="30" t="str">
        <x:v>A &amp; A Services, Inc.</x:v>
      </x:c>
      <x:c r="B13" s="30" t="str"/>
      <x:c r="C13" s="30" t="str"/>
      <x:c r="D13" s="30" t="str">
        <x:v>Salem</x:v>
      </x:c>
      <x:c r="E13" s="30" t="str">
        <x:v>MA</x:v>
      </x:c>
      <x:c r="F13" s="30" t="str"/>
      <x:c r="G13" s="30" t="str">
        <x:v>https://docs.google.com/spreadsheets/d/1Ns01a6n2IrCh1jhWsSbXCwKrbzXkwslYkbMww9RBetk/edit?gid=0</x:v>
      </x:c>
      <x:c r="H13" s="93" t="b">
        <x:v>1</x:v>
      </x:c>
      <x:c r="I13" s="30" t="str">
        <x:v>Apollo</x:v>
      </x:c>
      <x:c r="J13" s="30" t="str">
        <x:v>ChatGPT.docx</x:v>
      </x:c>
      <x:c r="K13" s="30" t="str">
        <x:v>Verified Express grant</x:v>
      </x:c>
      <x:c r="L13" s="30" t="str">
        <x:v>Express grant</x:v>
      </x:c>
      <x:c r="M13" s="30" t="str">
        <x:v>CommCorp grantee sheet [13]</x:v>
      </x:c>
      <x:c r="N13" s="30" t="str">
        <x:v>2023, 2024, 2025</x:v>
      </x:c>
      <x:c r="O13" s="87"/>
      <x:c r="P13" s="90"/>
      <x:c r="Q13" s="30" t="str"/>
      <x:c r="R13" s="30" t="str"/>
      <x:c r="S13" s="30" t="str"/>
      <x:c r="T13" s="30" t="str"/>
      <x:c r="U13" s="30" t="str"/>
      <x:c r="V13" s="30" t="str"/>
      <x:c r="W13" s="30" t="str"/>
      <x:c r="X13" s="30" t="str"/>
      <x:c r="Y13" s="30" t="str">
        <x:v>Not Started</x:v>
      </x:c>
      <x:c r="Z13" s="30" t="str"/>
    </x:row>
    <x:row r="14" ht="22" customHeight="1">
      <x:c r="A14" s="30" t="str">
        <x:v>A Concord Carpenter LLC</x:v>
      </x:c>
      <x:c r="B14" s="30" t="str"/>
      <x:c r="C14" s="30" t="str"/>
      <x:c r="D14" s="30" t="str">
        <x:v>Concord</x:v>
      </x:c>
      <x:c r="E14" s="30" t="str">
        <x:v>MA</x:v>
      </x:c>
      <x:c r="F14" s="30" t="str"/>
      <x:c r="G14" s="30" t="str">
        <x:v>https://docs.google.com/spreadsheets/d/1Ns01a6n2IrCh1jhWsSbXCwKrbzXkwslYkbMww9RBetk/edit?gid=0</x:v>
      </x:c>
      <x:c r="H14" s="93" t="b">
        <x:v>1</x:v>
      </x:c>
      <x:c r="I14" s="30" t="str">
        <x:v>Apollo</x:v>
      </x:c>
      <x:c r="J14" s="30" t="str">
        <x:v>ChatGPT.docx</x:v>
      </x:c>
      <x:c r="K14" s="30" t="str">
        <x:v>Verified Express grant</x:v>
      </x:c>
      <x:c r="L14" s="30" t="str">
        <x:v>Express grant</x:v>
      </x:c>
      <x:c r="M14" s="30" t="str">
        <x:v>CommCorp grantee sheet [13]</x:v>
      </x:c>
      <x:c r="N14" s="30" t="str">
        <x:v>2025</x:v>
      </x:c>
      <x:c r="O14" s="87"/>
      <x:c r="P14" s="90"/>
      <x:c r="Q14" s="30" t="str"/>
      <x:c r="R14" s="30" t="str"/>
      <x:c r="S14" s="30" t="str"/>
      <x:c r="T14" s="30" t="str"/>
      <x:c r="U14" s="30" t="str"/>
      <x:c r="V14" s="30" t="str"/>
      <x:c r="W14" s="30" t="str"/>
      <x:c r="X14" s="30" t="str"/>
      <x:c r="Y14" s="30" t="str">
        <x:v>Not Started</x:v>
      </x:c>
      <x:c r="Z14" s="30" t="str"/>
    </x:row>
    <x:row r="15" ht="22" customHeight="1">
      <x:c r="A15" s="30" t="str">
        <x:v>A&amp;M CONSTRUCTION COMPANY, INC</x:v>
      </x:c>
      <x:c r="B15" s="30" t="str"/>
      <x:c r="C15" s="30" t="str"/>
      <x:c r="D15" s="30" t="str">
        <x:v>Wakefield</x:v>
      </x:c>
      <x:c r="E15" s="30" t="str">
        <x:v>MA</x:v>
      </x:c>
      <x:c r="F15" s="30" t="str"/>
      <x:c r="G15" s="30" t="str">
        <x:v>https://docs.google.com/spreadsheets/d/1Ns01a6n2IrCh1jhWsSbXCwKrbzXkwslYkbMww9RBetk/edit?gid=0</x:v>
      </x:c>
      <x:c r="H15" s="93" t="b">
        <x:v>1</x:v>
      </x:c>
      <x:c r="I15" s="30" t="str">
        <x:v>Apollo</x:v>
      </x:c>
      <x:c r="J15" s="30" t="str">
        <x:v>ChatGPT.docx</x:v>
      </x:c>
      <x:c r="K15" s="30" t="str">
        <x:v>Verified Express grant</x:v>
      </x:c>
      <x:c r="L15" s="30" t="str">
        <x:v>Express grant</x:v>
      </x:c>
      <x:c r="M15" s="30" t="str">
        <x:v>CommCorp grantee sheet [13]</x:v>
      </x:c>
      <x:c r="N15" s="30" t="str">
        <x:v>2024</x:v>
      </x:c>
      <x:c r="O15" s="87"/>
      <x:c r="P15" s="90"/>
      <x:c r="Q15" s="30" t="str"/>
      <x:c r="R15" s="30" t="str"/>
      <x:c r="S15" s="30" t="str"/>
      <x:c r="T15" s="30" t="str"/>
      <x:c r="U15" s="30" t="str"/>
      <x:c r="V15" s="30" t="str"/>
      <x:c r="W15" s="30" t="str"/>
      <x:c r="X15" s="30" t="str"/>
      <x:c r="Y15" s="30" t="str">
        <x:v>Not Started</x:v>
      </x:c>
      <x:c r="Z15" s="30" t="str"/>
    </x:row>
    <x:row r="16" ht="22" customHeight="1">
      <x:c r="A16" s="30" t="str">
        <x:v>A&amp;M Tool and Die Company INC</x:v>
      </x:c>
      <x:c r="B16" s="30" t="str"/>
      <x:c r="C16" s="30" t="str"/>
      <x:c r="D16" s="30" t="str">
        <x:v>Southbridge</x:v>
      </x:c>
      <x:c r="E16" s="30" t="str">
        <x:v>MA</x:v>
      </x:c>
      <x:c r="F16" s="30" t="str"/>
      <x:c r="G16" s="30" t="str">
        <x:v>https://docs.google.com/spreadsheets/d/1Ns01a6n2IrCh1jhWsSbXCwKrbzXkwslYkbMww9RBetk/edit?gid=0</x:v>
      </x:c>
      <x:c r="H16" s="93" t="b">
        <x:v>1</x:v>
      </x:c>
      <x:c r="I16" s="30" t="str">
        <x:v>Apollo</x:v>
      </x:c>
      <x:c r="J16" s="30" t="str">
        <x:v>ChatGPT.docx</x:v>
      </x:c>
      <x:c r="K16" s="30" t="str">
        <x:v>Verified Express grant</x:v>
      </x:c>
      <x:c r="L16" s="30" t="str">
        <x:v>Express grant</x:v>
      </x:c>
      <x:c r="M16" s="30" t="str">
        <x:v>CommCorp grantee sheet [13]</x:v>
      </x:c>
      <x:c r="N16" s="30" t="str">
        <x:v>2025, 2026</x:v>
      </x:c>
      <x:c r="O16" s="87"/>
      <x:c r="P16" s="90"/>
      <x:c r="Q16" s="30" t="str"/>
      <x:c r="R16" s="30" t="str"/>
      <x:c r="S16" s="30" t="str"/>
      <x:c r="T16" s="30" t="str"/>
      <x:c r="U16" s="30" t="str"/>
      <x:c r="V16" s="30" t="str"/>
      <x:c r="W16" s="30" t="str"/>
      <x:c r="X16" s="30" t="str"/>
      <x:c r="Y16" s="30" t="str">
        <x:v>Not Started</x:v>
      </x:c>
      <x:c r="Z16" s="30" t="str"/>
    </x:row>
    <x:row r="17" ht="22" customHeight="1">
      <x:c r="A17" s="30" t="str">
        <x:v>A&amp;S Dental Wellness Center of Lowell</x:v>
      </x:c>
      <x:c r="B17" s="30" t="str"/>
      <x:c r="C17" s="30" t="str"/>
      <x:c r="D17" s="30" t="str">
        <x:v>Lowell</x:v>
      </x:c>
      <x:c r="E17" s="30" t="str">
        <x:v>MA</x:v>
      </x:c>
      <x:c r="F17" s="30" t="str"/>
      <x:c r="G17" s="30" t="str">
        <x:v>https://docs.google.com/spreadsheets/d/1Ns01a6n2IrCh1jhWsSbXCwKrbzXkwslYkbMww9RBetk/edit?gid=0</x:v>
      </x:c>
      <x:c r="H17" s="93" t="b">
        <x:v>1</x:v>
      </x:c>
      <x:c r="I17" s="30" t="str">
        <x:v>Apollo</x:v>
      </x:c>
      <x:c r="J17" s="30" t="str">
        <x:v>ChatGPT.docx</x:v>
      </x:c>
      <x:c r="K17" s="30" t="str">
        <x:v>Verified Express grant</x:v>
      </x:c>
      <x:c r="L17" s="30" t="str">
        <x:v>Express grant</x:v>
      </x:c>
      <x:c r="M17" s="30" t="str">
        <x:v>CommCorp grantee sheet [13]</x:v>
      </x:c>
      <x:c r="N17" s="30" t="str">
        <x:v>2024</x:v>
      </x:c>
      <x:c r="O17" s="87"/>
      <x:c r="P17" s="90"/>
      <x:c r="Q17" s="30" t="str"/>
      <x:c r="R17" s="30" t="str"/>
      <x:c r="S17" s="30" t="str"/>
      <x:c r="T17" s="30" t="str"/>
      <x:c r="U17" s="30" t="str"/>
      <x:c r="V17" s="30" t="str"/>
      <x:c r="W17" s="30" t="str"/>
      <x:c r="X17" s="30" t="str"/>
      <x:c r="Y17" s="30" t="str">
        <x:v>Not Started</x:v>
      </x:c>
      <x:c r="Z17" s="30" t="str"/>
    </x:row>
    <x:row r="18" ht="22" customHeight="1">
      <x:c r="A18" s="30" t="str">
        <x:v>A. Wisialko &amp; Company LLC</x:v>
      </x:c>
      <x:c r="B18" s="30" t="str"/>
      <x:c r="C18" s="30" t="str"/>
      <x:c r="D18" s="30" t="str">
        <x:v>Westwood</x:v>
      </x:c>
      <x:c r="E18" s="30" t="str">
        <x:v>MA</x:v>
      </x:c>
      <x:c r="F18" s="30" t="str"/>
      <x:c r="G18" s="30" t="str">
        <x:v>https://docs.google.com/spreadsheets/d/1Ns01a6n2IrCh1jhWsSbXCwKrbzXkwslYkbMww9RBetk/edit?gid=0</x:v>
      </x:c>
      <x:c r="H18" s="93" t="b">
        <x:v>1</x:v>
      </x:c>
      <x:c r="I18" s="30" t="str">
        <x:v>Apollo</x:v>
      </x:c>
      <x:c r="J18" s="30" t="str">
        <x:v>ChatGPT.docx</x:v>
      </x:c>
      <x:c r="K18" s="30" t="str">
        <x:v>Verified Express grant</x:v>
      </x:c>
      <x:c r="L18" s="30" t="str">
        <x:v>Express grant</x:v>
      </x:c>
      <x:c r="M18" s="30" t="str">
        <x:v>CommCorp grantee sheet [13]</x:v>
      </x:c>
      <x:c r="N18" s="30" t="str">
        <x:v>2023</x:v>
      </x:c>
      <x:c r="O18" s="87"/>
      <x:c r="P18" s="90"/>
      <x:c r="Q18" s="30" t="str"/>
      <x:c r="R18" s="30" t="str"/>
      <x:c r="S18" s="30" t="str"/>
      <x:c r="T18" s="30" t="str"/>
      <x:c r="U18" s="30" t="str"/>
      <x:c r="V18" s="30" t="str"/>
      <x:c r="W18" s="30" t="str"/>
      <x:c r="X18" s="30" t="str"/>
      <x:c r="Y18" s="30" t="str">
        <x:v>Not Started</x:v>
      </x:c>
      <x:c r="Z18" s="30" t="str"/>
    </x:row>
    <x:row r="19" ht="22" customHeight="1">
      <x:c r="A19" s="30" t="str">
        <x:v>A.P.L. SERVICES INC</x:v>
      </x:c>
      <x:c r="B19" s="30" t="str"/>
      <x:c r="C19" s="30" t="str"/>
      <x:c r="D19" s="30" t="str">
        <x:v>Braintree</x:v>
      </x:c>
      <x:c r="E19" s="30" t="str">
        <x:v>MA</x:v>
      </x:c>
      <x:c r="F19" s="30" t="str"/>
      <x:c r="G19" s="30" t="str">
        <x:v>https://docs.google.com/spreadsheets/d/1Ns01a6n2IrCh1jhWsSbXCwKrbzXkwslYkbMww9RBetk/edit?gid=0</x:v>
      </x:c>
      <x:c r="H19" s="93" t="b">
        <x:v>1</x:v>
      </x:c>
      <x:c r="I19" s="30" t="str">
        <x:v>Apollo</x:v>
      </x:c>
      <x:c r="J19" s="30" t="str">
        <x:v>ChatGPT.docx</x:v>
      </x:c>
      <x:c r="K19" s="30" t="str">
        <x:v>Verified Express grant</x:v>
      </x:c>
      <x:c r="L19" s="30" t="str">
        <x:v>Express grant</x:v>
      </x:c>
      <x:c r="M19" s="30" t="str">
        <x:v>CommCorp grantee sheet [13]</x:v>
      </x:c>
      <x:c r="N19" s="30" t="str">
        <x:v>2025</x:v>
      </x:c>
      <x:c r="O19" s="87"/>
      <x:c r="P19" s="90"/>
      <x:c r="Q19" s="30" t="str"/>
      <x:c r="R19" s="30" t="str"/>
      <x:c r="S19" s="30" t="str"/>
      <x:c r="T19" s="30" t="str"/>
      <x:c r="U19" s="30" t="str"/>
      <x:c r="V19" s="30" t="str"/>
      <x:c r="W19" s="30" t="str"/>
      <x:c r="X19" s="30" t="str"/>
      <x:c r="Y19" s="30" t="str">
        <x:v>Not Started</x:v>
      </x:c>
      <x:c r="Z19" s="30" t="str"/>
    </x:row>
    <x:row r="20" ht="22" customHeight="1">
      <x:c r="A20" s="30" t="str">
        <x:v>AAH DENTAL, PLLC</x:v>
      </x:c>
      <x:c r="B20" s="30" t="str"/>
      <x:c r="C20" s="30" t="str"/>
      <x:c r="D20" s="30" t="str">
        <x:v>Worcester</x:v>
      </x:c>
      <x:c r="E20" s="30" t="str">
        <x:v>MA</x:v>
      </x:c>
      <x:c r="F20" s="30" t="str"/>
      <x:c r="G20" s="30" t="str">
        <x:v>https://docs.google.com/spreadsheets/d/1Ns01a6n2IrCh1jhWsSbXCwKrbzXkwslYkbMww9RBetk/edit?gid=0</x:v>
      </x:c>
      <x:c r="H20" s="93" t="b">
        <x:v>1</x:v>
      </x:c>
      <x:c r="I20" s="30" t="str">
        <x:v>Apollo</x:v>
      </x:c>
      <x:c r="J20" s="30" t="str">
        <x:v>ChatGPT.docx</x:v>
      </x:c>
      <x:c r="K20" s="30" t="str">
        <x:v>Verified Express grant</x:v>
      </x:c>
      <x:c r="L20" s="30" t="str">
        <x:v>Express grant</x:v>
      </x:c>
      <x:c r="M20" s="30" t="str">
        <x:v>CommCorp grantee sheet [13]</x:v>
      </x:c>
      <x:c r="N20" s="30" t="str">
        <x:v>2025</x:v>
      </x:c>
      <x:c r="O20" s="87"/>
      <x:c r="P20" s="90"/>
      <x:c r="Q20" s="30" t="str"/>
      <x:c r="R20" s="30" t="str"/>
      <x:c r="S20" s="30" t="str"/>
      <x:c r="T20" s="30" t="str"/>
      <x:c r="U20" s="30" t="str"/>
      <x:c r="V20" s="30" t="str"/>
      <x:c r="W20" s="30" t="str"/>
      <x:c r="X20" s="30" t="str"/>
      <x:c r="Y20" s="30" t="str">
        <x:v>Not Started</x:v>
      </x:c>
      <x:c r="Z20" s="30" t="str"/>
    </x:row>
    <x:row r="21" ht="22" customHeight="1">
      <x:c r="A21" s="30" t="str">
        <x:v>Aalanco Service Corp</x:v>
      </x:c>
      <x:c r="B21" s="30" t="str"/>
      <x:c r="C21" s="30" t="str"/>
      <x:c r="D21" s="30" t="str">
        <x:v>Westborough</x:v>
      </x:c>
      <x:c r="E21" s="30" t="str">
        <x:v>MA</x:v>
      </x:c>
      <x:c r="F21" s="30" t="str"/>
      <x:c r="G21" s="30" t="str">
        <x:v>https://docs.google.com/spreadsheets/d/1Ns01a6n2IrCh1jhWsSbXCwKrbzXkwslYkbMww9RBetk/edit?gid=0</x:v>
      </x:c>
      <x:c r="H21" s="93" t="b">
        <x:v>1</x:v>
      </x:c>
      <x:c r="I21" s="30" t="str">
        <x:v>Apollo</x:v>
      </x:c>
      <x:c r="J21" s="30" t="str">
        <x:v>ChatGPT.docx</x:v>
      </x:c>
      <x:c r="K21" s="30" t="str">
        <x:v>Verified Express grant</x:v>
      </x:c>
      <x:c r="L21" s="30" t="str">
        <x:v>Express grant</x:v>
      </x:c>
      <x:c r="M21" s="30" t="str">
        <x:v>CommCorp grantee sheet [13]</x:v>
      </x:c>
      <x:c r="N21" s="30" t="str">
        <x:v>2026</x:v>
      </x:c>
      <x:c r="O21" s="87"/>
      <x:c r="P21" s="90"/>
      <x:c r="Q21" s="30" t="str"/>
      <x:c r="R21" s="30" t="str"/>
      <x:c r="S21" s="30" t="str"/>
      <x:c r="T21" s="30" t="str"/>
      <x:c r="U21" s="30" t="str"/>
      <x:c r="V21" s="30" t="str"/>
      <x:c r="W21" s="30" t="str"/>
      <x:c r="X21" s="30" t="str"/>
      <x:c r="Y21" s="30" t="str">
        <x:v>Not Started</x:v>
      </x:c>
      <x:c r="Z21" s="30" t="str"/>
    </x:row>
    <x:row r="22" ht="22" customHeight="1">
      <x:c r="A22" s="30" t="str">
        <x:v>Aaron Buyack, DMD, PLLC</x:v>
      </x:c>
      <x:c r="B22" s="30" t="str"/>
      <x:c r="C22" s="30" t="str"/>
      <x:c r="D22" s="30" t="str">
        <x:v>Pittsfield</x:v>
      </x:c>
      <x:c r="E22" s="30" t="str">
        <x:v>MA</x:v>
      </x:c>
      <x:c r="F22" s="30" t="str"/>
      <x:c r="G22" s="30" t="str">
        <x:v>https://docs.google.com/spreadsheets/d/1Ns01a6n2IrCh1jhWsSbXCwKrbzXkwslYkbMww9RBetk/edit?gid=0</x:v>
      </x:c>
      <x:c r="H22" s="93" t="b">
        <x:v>1</x:v>
      </x:c>
      <x:c r="I22" s="30" t="str">
        <x:v>Apollo</x:v>
      </x:c>
      <x:c r="J22" s="30" t="str">
        <x:v>ChatGPT.docx</x:v>
      </x:c>
      <x:c r="K22" s="30" t="str">
        <x:v>Verified Express grant</x:v>
      </x:c>
      <x:c r="L22" s="30" t="str">
        <x:v>Express grant</x:v>
      </x:c>
      <x:c r="M22" s="30" t="str">
        <x:v>CommCorp grantee sheet [13]</x:v>
      </x:c>
      <x:c r="N22" s="30" t="str">
        <x:v>2023</x:v>
      </x:c>
      <x:c r="O22" s="87"/>
      <x:c r="P22" s="90"/>
      <x:c r="Q22" s="30" t="str"/>
      <x:c r="R22" s="30" t="str"/>
      <x:c r="S22" s="30" t="str"/>
      <x:c r="T22" s="30" t="str"/>
      <x:c r="U22" s="30" t="str"/>
      <x:c r="V22" s="30" t="str"/>
      <x:c r="W22" s="30" t="str"/>
      <x:c r="X22" s="30" t="str"/>
      <x:c r="Y22" s="30" t="str">
        <x:v>Not Started</x:v>
      </x:c>
      <x:c r="Z22" s="30" t="str"/>
    </x:row>
    <x:row r="23" ht="22" customHeight="1">
      <x:c r="A23" s="30" t="str">
        <x:v>Aaron Smith, PC</x:v>
      </x:c>
      <x:c r="B23" s="30" t="str"/>
      <x:c r="C23" s="30" t="str"/>
      <x:c r="D23" s="30" t="str">
        <x:v>East Longmeadow</x:v>
      </x:c>
      <x:c r="E23" s="30" t="str">
        <x:v>MA</x:v>
      </x:c>
      <x:c r="F23" s="30" t="str"/>
      <x:c r="G23" s="30" t="str">
        <x:v>https://docs.google.com/spreadsheets/d/1Ns01a6n2IrCh1jhWsSbXCwKrbzXkwslYkbMww9RBetk/edit?gid=0</x:v>
      </x:c>
      <x:c r="H23" s="93" t="b">
        <x:v>1</x:v>
      </x:c>
      <x:c r="I23" s="30" t="str">
        <x:v>Apollo</x:v>
      </x:c>
      <x:c r="J23" s="30" t="str">
        <x:v>ChatGPT.docx</x:v>
      </x:c>
      <x:c r="K23" s="30" t="str">
        <x:v>Verified Express grant</x:v>
      </x:c>
      <x:c r="L23" s="30" t="str">
        <x:v>Express grant</x:v>
      </x:c>
      <x:c r="M23" s="30" t="str">
        <x:v>CommCorp grantee sheet [13]</x:v>
      </x:c>
      <x:c r="N23" s="30" t="str">
        <x:v>2023, 2024</x:v>
      </x:c>
      <x:c r="O23" s="87"/>
      <x:c r="P23" s="90"/>
      <x:c r="Q23" s="30" t="str"/>
      <x:c r="R23" s="30" t="str"/>
      <x:c r="S23" s="30" t="str"/>
      <x:c r="T23" s="30" t="str"/>
      <x:c r="U23" s="30" t="str"/>
      <x:c r="V23" s="30" t="str"/>
      <x:c r="W23" s="30" t="str"/>
      <x:c r="X23" s="30" t="str"/>
      <x:c r="Y23" s="30" t="str">
        <x:v>Not Started</x:v>
      </x:c>
      <x:c r="Z23" s="30" t="str"/>
    </x:row>
    <x:row r="24" ht="22" customHeight="1">
      <x:c r="A24" s="30" t="str">
        <x:v>Abbott and Company LLC</x:v>
      </x:c>
      <x:c r="B24" s="30" t="str"/>
      <x:c r="C24" s="30" t="str"/>
      <x:c r="D24" s="30" t="str">
        <x:v>Lexington</x:v>
      </x:c>
      <x:c r="E24" s="30" t="str">
        <x:v>MA</x:v>
      </x:c>
      <x:c r="F24" s="30" t="str"/>
      <x:c r="G24" s="30" t="str">
        <x:v>https://docs.google.com/spreadsheets/d/1Ns01a6n2IrCh1jhWsSbXCwKrbzXkwslYkbMww9RBetk/edit?gid=0</x:v>
      </x:c>
      <x:c r="H24" s="93" t="b">
        <x:v>1</x:v>
      </x:c>
      <x:c r="I24" s="30" t="str">
        <x:v>Apollo</x:v>
      </x:c>
      <x:c r="J24" s="30" t="str">
        <x:v>ChatGPT.docx</x:v>
      </x:c>
      <x:c r="K24" s="30" t="str">
        <x:v>Verified Express grant</x:v>
      </x:c>
      <x:c r="L24" s="30" t="str">
        <x:v>Express grant</x:v>
      </x:c>
      <x:c r="M24" s="30" t="str">
        <x:v>CommCorp grantee sheet [13]</x:v>
      </x:c>
      <x:c r="N24" s="30" t="str">
        <x:v>2024</x:v>
      </x:c>
      <x:c r="O24" s="87"/>
      <x:c r="P24" s="90"/>
      <x:c r="Q24" s="30" t="str"/>
      <x:c r="R24" s="30" t="str"/>
      <x:c r="S24" s="30" t="str"/>
      <x:c r="T24" s="30" t="str"/>
      <x:c r="U24" s="30" t="str"/>
      <x:c r="V24" s="30" t="str"/>
      <x:c r="W24" s="30" t="str"/>
      <x:c r="X24" s="30" t="str"/>
      <x:c r="Y24" s="30" t="str">
        <x:v>Not Started</x:v>
      </x:c>
      <x:c r="Z24" s="30" t="str"/>
    </x:row>
    <x:row r="25" ht="22" customHeight="1">
      <x:c r="A25" s="30" t="str">
        <x:v>Abby Kelley Foster House, Inc.</x:v>
      </x:c>
      <x:c r="B25" s="30" t="str"/>
      <x:c r="C25" s="30" t="str"/>
      <x:c r="D25" s="30" t="str">
        <x:v>Worcester</x:v>
      </x:c>
      <x:c r="E25" s="30" t="str">
        <x:v>MA</x:v>
      </x:c>
      <x:c r="F25" s="30" t="str"/>
      <x:c r="G25" s="30" t="str">
        <x:v>https://docs.google.com/spreadsheets/d/1Ns01a6n2IrCh1jhWsSbXCwKrbzXkwslYkbMww9RBetk/edit?gid=0</x:v>
      </x:c>
      <x:c r="H25" s="93" t="b">
        <x:v>1</x:v>
      </x:c>
      <x:c r="I25" s="30" t="str">
        <x:v>Apollo</x:v>
      </x:c>
      <x:c r="J25" s="30" t="str">
        <x:v>ChatGPT.docx</x:v>
      </x:c>
      <x:c r="K25" s="30" t="str">
        <x:v>Verified Express grant</x:v>
      </x:c>
      <x:c r="L25" s="30" t="str">
        <x:v>Express grant</x:v>
      </x:c>
      <x:c r="M25" s="30" t="str">
        <x:v>CommCorp grantee sheet [13]</x:v>
      </x:c>
      <x:c r="N25" s="30" t="str">
        <x:v>2024</x:v>
      </x:c>
      <x:c r="O25" s="87"/>
      <x:c r="P25" s="90"/>
      <x:c r="Q25" s="30" t="str"/>
      <x:c r="R25" s="30" t="str"/>
      <x:c r="S25" s="30" t="str"/>
      <x:c r="T25" s="30" t="str"/>
      <x:c r="U25" s="30" t="str"/>
      <x:c r="V25" s="30" t="str"/>
      <x:c r="W25" s="30" t="str"/>
      <x:c r="X25" s="30" t="str"/>
      <x:c r="Y25" s="30" t="str">
        <x:v>Not Started</x:v>
      </x:c>
      <x:c r="Z25" s="30" t="str"/>
    </x:row>
    <x:row r="26" ht="22" customHeight="1">
      <x:c r="A26" s="30" t="str">
        <x:v>Abode Energy Management LLC</x:v>
      </x:c>
      <x:c r="B26" s="30" t="str"/>
      <x:c r="C26" s="30" t="str"/>
      <x:c r="D26" s="30" t="str">
        <x:v>Concord</x:v>
      </x:c>
      <x:c r="E26" s="30" t="str">
        <x:v>MA</x:v>
      </x:c>
      <x:c r="F26" s="30" t="str"/>
      <x:c r="G26" s="30" t="str">
        <x:v>https://docs.google.com/spreadsheets/d/1Ns01a6n2IrCh1jhWsSbXCwKrbzXkwslYkbMww9RBetk/edit?gid=0</x:v>
      </x:c>
      <x:c r="H26" s="93" t="b">
        <x:v>1</x:v>
      </x:c>
      <x:c r="I26" s="30" t="str">
        <x:v>Apollo</x:v>
      </x:c>
      <x:c r="J26" s="30" t="str">
        <x:v>ChatGPT.docx</x:v>
      </x:c>
      <x:c r="K26" s="30" t="str">
        <x:v>Verified Express grant</x:v>
      </x:c>
      <x:c r="L26" s="30" t="str">
        <x:v>Express grant</x:v>
      </x:c>
      <x:c r="M26" s="30" t="str">
        <x:v>CommCorp grantee sheet [14]</x:v>
      </x:c>
      <x:c r="N26" s="30" t="str">
        <x:v>2024</x:v>
      </x:c>
      <x:c r="O26" s="87"/>
      <x:c r="P26" s="90"/>
      <x:c r="Q26" s="30" t="str"/>
      <x:c r="R26" s="30" t="str"/>
      <x:c r="S26" s="30" t="str"/>
      <x:c r="T26" s="30" t="str"/>
      <x:c r="U26" s="30" t="str"/>
      <x:c r="V26" s="30" t="str"/>
      <x:c r="W26" s="30" t="str"/>
      <x:c r="X26" s="30" t="str"/>
      <x:c r="Y26" s="30" t="str">
        <x:v>Not Started</x:v>
      </x:c>
      <x:c r="Z26" s="30" t="str"/>
    </x:row>
    <x:row r="27" ht="22" customHeight="1">
      <x:c r="A27" s="30" t="str">
        <x:v>About Fresh, Inc.</x:v>
      </x:c>
      <x:c r="B27" s="30" t="str"/>
      <x:c r="C27" s="30" t="str"/>
      <x:c r="D27" s="30" t="str">
        <x:v>Boston</x:v>
      </x:c>
      <x:c r="E27" s="30" t="str">
        <x:v>MA</x:v>
      </x:c>
      <x:c r="F27" s="30" t="str"/>
      <x:c r="G27" s="30" t="str">
        <x:v>https://docs.google.com/spreadsheets/d/1Ns01a6n2IrCh1jhWsSbXCwKrbzXkwslYkbMww9RBetk/edit?gid=0</x:v>
      </x:c>
      <x:c r="H27" s="93" t="b">
        <x:v>1</x:v>
      </x:c>
      <x:c r="I27" s="30" t="str">
        <x:v>Apollo</x:v>
      </x:c>
      <x:c r="J27" s="30" t="str">
        <x:v>ChatGPT.docx</x:v>
      </x:c>
      <x:c r="K27" s="30" t="str">
        <x:v>Verified Express grant</x:v>
      </x:c>
      <x:c r="L27" s="30" t="str">
        <x:v>Express grant</x:v>
      </x:c>
      <x:c r="M27" s="30" t="str">
        <x:v>CommCorp grantee sheet [14]</x:v>
      </x:c>
      <x:c r="N27" s="30" t="str">
        <x:v>2024</x:v>
      </x:c>
      <x:c r="O27" s="87"/>
      <x:c r="P27" s="90"/>
      <x:c r="Q27" s="30" t="str"/>
      <x:c r="R27" s="30" t="str"/>
      <x:c r="S27" s="30" t="str"/>
      <x:c r="T27" s="30" t="str"/>
      <x:c r="U27" s="30" t="str"/>
      <x:c r="V27" s="30" t="str"/>
      <x:c r="W27" s="30" t="str"/>
      <x:c r="X27" s="30" t="str"/>
      <x:c r="Y27" s="30" t="str">
        <x:v>Not Started</x:v>
      </x:c>
      <x:c r="Z27" s="30" t="str"/>
    </x:row>
    <x:row r="28" ht="22" customHeight="1">
      <x:c r="A28" s="30" t="str">
        <x:v>Abside Networks Inc</x:v>
      </x:c>
      <x:c r="B28" s="30" t="str"/>
      <x:c r="C28" s="30" t="str"/>
      <x:c r="D28" s="30" t="str">
        <x:v>Acton</x:v>
      </x:c>
      <x:c r="E28" s="30" t="str">
        <x:v>MA</x:v>
      </x:c>
      <x:c r="F28" s="30" t="str"/>
      <x:c r="G28" s="30" t="str">
        <x:v>https://docs.google.com/spreadsheets/d/1Ns01a6n2IrCh1jhWsSbXCwKrbzXkwslYkbMww9RBetk/edit?gid=0</x:v>
      </x:c>
      <x:c r="H28" s="93" t="b">
        <x:v>1</x:v>
      </x:c>
      <x:c r="I28" s="30" t="str">
        <x:v>Apollo</x:v>
      </x:c>
      <x:c r="J28" s="30" t="str">
        <x:v>ChatGPT.docx</x:v>
      </x:c>
      <x:c r="K28" s="30" t="str">
        <x:v>Verified Express grant</x:v>
      </x:c>
      <x:c r="L28" s="30" t="str">
        <x:v>Express grant</x:v>
      </x:c>
      <x:c r="M28" s="30" t="str">
        <x:v>CommCorp grantee sheet [14]</x:v>
      </x:c>
      <x:c r="N28" s="30" t="str">
        <x:v>2026</x:v>
      </x:c>
      <x:c r="O28" s="87"/>
      <x:c r="P28" s="90"/>
      <x:c r="Q28" s="30" t="str"/>
      <x:c r="R28" s="30" t="str"/>
      <x:c r="S28" s="30" t="str"/>
      <x:c r="T28" s="30" t="str"/>
      <x:c r="U28" s="30" t="str"/>
      <x:c r="V28" s="30" t="str"/>
      <x:c r="W28" s="30" t="str"/>
      <x:c r="X28" s="30" t="str"/>
      <x:c r="Y28" s="30" t="str">
        <x:v>Not Started</x:v>
      </x:c>
      <x:c r="Z28" s="30" t="str"/>
    </x:row>
    <x:row r="29" ht="22" customHeight="1">
      <x:c r="A29" s="30" t="str">
        <x:v>Absolute Metal Finishing, Inc.</x:v>
      </x:c>
      <x:c r="B29" s="30" t="str"/>
      <x:c r="C29" s="30" t="str"/>
      <x:c r="D29" s="30" t="str">
        <x:v>Norwood</x:v>
      </x:c>
      <x:c r="E29" s="30" t="str">
        <x:v>MA</x:v>
      </x:c>
      <x:c r="F29" s="30" t="str"/>
      <x:c r="G29" s="30" t="str">
        <x:v>https://docs.google.com/spreadsheets/d/1Ns01a6n2IrCh1jhWsSbXCwKrbzXkwslYkbMww9RBetk/edit?gid=0</x:v>
      </x:c>
      <x:c r="H29" s="93" t="b">
        <x:v>1</x:v>
      </x:c>
      <x:c r="I29" s="30" t="str">
        <x:v>Apollo</x:v>
      </x:c>
      <x:c r="J29" s="30" t="str">
        <x:v>ChatGPT.docx</x:v>
      </x:c>
      <x:c r="K29" s="30" t="str">
        <x:v>Verified Express grant</x:v>
      </x:c>
      <x:c r="L29" s="30" t="str">
        <x:v>Express grant</x:v>
      </x:c>
      <x:c r="M29" s="30" t="str">
        <x:v>CommCorp grantee sheet [14]</x:v>
      </x:c>
      <x:c r="N29" s="30" t="str">
        <x:v>2024</x:v>
      </x:c>
      <x:c r="O29" s="87"/>
      <x:c r="P29" s="90"/>
      <x:c r="Q29" s="30" t="str"/>
      <x:c r="R29" s="30" t="str"/>
      <x:c r="S29" s="30" t="str"/>
      <x:c r="T29" s="30" t="str"/>
      <x:c r="U29" s="30" t="str"/>
      <x:c r="V29" s="30" t="str"/>
      <x:c r="W29" s="30" t="str"/>
      <x:c r="X29" s="30" t="str"/>
      <x:c r="Y29" s="30" t="str">
        <x:v>Not Started</x:v>
      </x:c>
      <x:c r="Z29" s="30" t="str"/>
    </x:row>
    <x:row r="30" ht="22" customHeight="1">
      <x:c r="A30" s="30" t="str">
        <x:v>Abundant Housing Massachusetts Inc</x:v>
      </x:c>
      <x:c r="B30" s="30" t="str"/>
      <x:c r="C30" s="30" t="str"/>
      <x:c r="D30" s="30" t="str">
        <x:v>Boston</x:v>
      </x:c>
      <x:c r="E30" s="30" t="str">
        <x:v>MA</x:v>
      </x:c>
      <x:c r="F30" s="30" t="str"/>
      <x:c r="G30" s="30" t="str">
        <x:v>https://docs.google.com/spreadsheets/d/1Ns01a6n2IrCh1jhWsSbXCwKrbzXkwslYkbMww9RBetk/edit?gid=0</x:v>
      </x:c>
      <x:c r="H30" s="93" t="b">
        <x:v>1</x:v>
      </x:c>
      <x:c r="I30" s="30" t="str">
        <x:v>Apollo</x:v>
      </x:c>
      <x:c r="J30" s="30" t="str">
        <x:v>ChatGPT.docx</x:v>
      </x:c>
      <x:c r="K30" s="30" t="str">
        <x:v>Verified Express grant</x:v>
      </x:c>
      <x:c r="L30" s="30" t="str">
        <x:v>Express grant</x:v>
      </x:c>
      <x:c r="M30" s="30" t="str">
        <x:v>CommCorp grantee sheet [14]</x:v>
      </x:c>
      <x:c r="N30" s="30" t="str">
        <x:v>2025</x:v>
      </x:c>
      <x:c r="O30" s="87"/>
      <x:c r="P30" s="90"/>
      <x:c r="Q30" s="30" t="str"/>
      <x:c r="R30" s="30" t="str"/>
      <x:c r="S30" s="30" t="str"/>
      <x:c r="T30" s="30" t="str"/>
      <x:c r="U30" s="30" t="str"/>
      <x:c r="V30" s="30" t="str"/>
      <x:c r="W30" s="30" t="str"/>
      <x:c r="X30" s="30" t="str"/>
      <x:c r="Y30" s="30" t="str">
        <x:v>Not Started</x:v>
      </x:c>
      <x:c r="Z30" s="30" t="str"/>
    </x:row>
    <x:row r="31" ht="22" customHeight="1">
      <x:c r="A31" s="30" t="str">
        <x:v>Academy Fulfillment LLC</x:v>
      </x:c>
      <x:c r="B31" s="30" t="str"/>
      <x:c r="C31" s="30" t="str"/>
      <x:c r="D31" s="30" t="str">
        <x:v>Sandwich</x:v>
      </x:c>
      <x:c r="E31" s="30" t="str">
        <x:v>MA</x:v>
      </x:c>
      <x:c r="F31" s="30" t="str"/>
      <x:c r="G31" s="30" t="str">
        <x:v>https://docs.google.com/spreadsheets/d/1Ns01a6n2IrCh1jhWsSbXCwKrbzXkwslYkbMww9RBetk/edit?gid=0</x:v>
      </x:c>
      <x:c r="H31" s="93" t="b">
        <x:v>1</x:v>
      </x:c>
      <x:c r="I31" s="30" t="str">
        <x:v>Apollo</x:v>
      </x:c>
      <x:c r="J31" s="30" t="str">
        <x:v>ChatGPT.docx</x:v>
      </x:c>
      <x:c r="K31" s="30" t="str">
        <x:v>Verified Express grant</x:v>
      </x:c>
      <x:c r="L31" s="30" t="str">
        <x:v>Express grant</x:v>
      </x:c>
      <x:c r="M31" s="30" t="str">
        <x:v>CommCorp grantee sheet [14]</x:v>
      </x:c>
      <x:c r="N31" s="30" t="str">
        <x:v>2024</x:v>
      </x:c>
      <x:c r="O31" s="87"/>
      <x:c r="P31" s="90"/>
      <x:c r="Q31" s="30" t="str"/>
      <x:c r="R31" s="30" t="str"/>
      <x:c r="S31" s="30" t="str"/>
      <x:c r="T31" s="30" t="str"/>
      <x:c r="U31" s="30" t="str"/>
      <x:c r="V31" s="30" t="str"/>
      <x:c r="W31" s="30" t="str"/>
      <x:c r="X31" s="30" t="str"/>
      <x:c r="Y31" s="30" t="str">
        <x:v>Not Started</x:v>
      </x:c>
      <x:c r="Z31" s="30" t="str"/>
    </x:row>
    <x:row r="32" ht="22" customHeight="1">
      <x:c r="A32" s="30" t="str">
        <x:v>Acadia Management Co. Inc.</x:v>
      </x:c>
      <x:c r="B32" s="30" t="str"/>
      <x:c r="C32" s="30" t="str"/>
      <x:c r="D32" s="30" t="str">
        <x:v>Boston</x:v>
      </x:c>
      <x:c r="E32" s="30" t="str">
        <x:v>MA</x:v>
      </x:c>
      <x:c r="F32" s="30" t="str"/>
      <x:c r="G32" s="30" t="str">
        <x:v>https://docs.google.com/spreadsheets/d/1Ns01a6n2IrCh1jhWsSbXCwKrbzXkwslYkbMww9RBetk/edit?gid=0</x:v>
      </x:c>
      <x:c r="H32" s="93" t="b">
        <x:v>1</x:v>
      </x:c>
      <x:c r="I32" s="30" t="str">
        <x:v>Apollo</x:v>
      </x:c>
      <x:c r="J32" s="30" t="str">
        <x:v>ChatGPT.docx</x:v>
      </x:c>
      <x:c r="K32" s="30" t="str">
        <x:v>Verified Express grant</x:v>
      </x:c>
      <x:c r="L32" s="30" t="str">
        <x:v>Express grant</x:v>
      </x:c>
      <x:c r="M32" s="30" t="str">
        <x:v>CommCorp grantee sheet [14]</x:v>
      </x:c>
      <x:c r="N32" s="30" t="str">
        <x:v>2023, 2024, 2025</x:v>
      </x:c>
      <x:c r="O32" s="87"/>
      <x:c r="P32" s="90"/>
      <x:c r="Q32" s="30" t="str"/>
      <x:c r="R32" s="30" t="str"/>
      <x:c r="S32" s="30" t="str"/>
      <x:c r="T32" s="30" t="str"/>
      <x:c r="U32" s="30" t="str"/>
      <x:c r="V32" s="30" t="str"/>
      <x:c r="W32" s="30" t="str"/>
      <x:c r="X32" s="30" t="str"/>
      <x:c r="Y32" s="30" t="str">
        <x:v>Not Started</x:v>
      </x:c>
      <x:c r="Z32" s="30" t="str"/>
    </x:row>
    <x:row r="33" ht="22" customHeight="1">
      <x:c r="A33" s="30" t="str">
        <x:v>Accent Therapeutics, Inc.</x:v>
      </x:c>
      <x:c r="B33" s="30" t="str"/>
      <x:c r="C33" s="30" t="str"/>
      <x:c r="D33" s="30" t="str">
        <x:v>Lexington</x:v>
      </x:c>
      <x:c r="E33" s="30" t="str">
        <x:v>MA</x:v>
      </x:c>
      <x:c r="F33" s="30" t="str"/>
      <x:c r="G33" s="30" t="str">
        <x:v>https://docs.google.com/spreadsheets/d/1Ns01a6n2IrCh1jhWsSbXCwKrbzXkwslYkbMww9RBetk/edit?gid=0</x:v>
      </x:c>
      <x:c r="H33" s="93" t="b">
        <x:v>1</x:v>
      </x:c>
      <x:c r="I33" s="30" t="str">
        <x:v>Apollo</x:v>
      </x:c>
      <x:c r="J33" s="30" t="str">
        <x:v>ChatGPT.docx</x:v>
      </x:c>
      <x:c r="K33" s="30" t="str">
        <x:v>Verified Express grant</x:v>
      </x:c>
      <x:c r="L33" s="30" t="str">
        <x:v>Express grant</x:v>
      </x:c>
      <x:c r="M33" s="30" t="str">
        <x:v>CommCorp grantee sheet [14]</x:v>
      </x:c>
      <x:c r="N33" s="30" t="str">
        <x:v>2023, 2026</x:v>
      </x:c>
      <x:c r="O33" s="87"/>
      <x:c r="P33" s="90"/>
      <x:c r="Q33" s="30" t="str"/>
      <x:c r="R33" s="30" t="str"/>
      <x:c r="S33" s="30" t="str"/>
      <x:c r="T33" s="30" t="str"/>
      <x:c r="U33" s="30" t="str"/>
      <x:c r="V33" s="30" t="str"/>
      <x:c r="W33" s="30" t="str"/>
      <x:c r="X33" s="30" t="str"/>
      <x:c r="Y33" s="30" t="str">
        <x:v>Not Started</x:v>
      </x:c>
      <x:c r="Z33" s="30" t="str"/>
    </x:row>
    <x:row r="34" ht="22" customHeight="1">
      <x:c r="A34" s="30" t="str">
        <x:v>Accountable Care Transactions Inc</x:v>
      </x:c>
      <x:c r="B34" s="30" t="str"/>
      <x:c r="C34" s="30" t="str"/>
      <x:c r="D34" s="30" t="str">
        <x:v>Boston</x:v>
      </x:c>
      <x:c r="E34" s="30" t="str">
        <x:v>MA</x:v>
      </x:c>
      <x:c r="F34" s="30" t="str"/>
      <x:c r="G34" s="30" t="str">
        <x:v>https://docs.google.com/spreadsheets/d/1Ns01a6n2IrCh1jhWsSbXCwKrbzXkwslYkbMww9RBetk/edit?gid=0</x:v>
      </x:c>
      <x:c r="H34" s="93" t="b">
        <x:v>1</x:v>
      </x:c>
      <x:c r="I34" s="30" t="str">
        <x:v>Apollo</x:v>
      </x:c>
      <x:c r="J34" s="30" t="str">
        <x:v>ChatGPT.docx</x:v>
      </x:c>
      <x:c r="K34" s="30" t="str">
        <x:v>Verified Express grant</x:v>
      </x:c>
      <x:c r="L34" s="30" t="str">
        <x:v>Express grant</x:v>
      </x:c>
      <x:c r="M34" s="30" t="str">
        <x:v>CommCorp grantee sheet [14]</x:v>
      </x:c>
      <x:c r="N34" s="30" t="str">
        <x:v>2024</x:v>
      </x:c>
      <x:c r="O34" s="87"/>
      <x:c r="P34" s="90"/>
      <x:c r="Q34" s="30" t="str"/>
      <x:c r="R34" s="30" t="str"/>
      <x:c r="S34" s="30" t="str"/>
      <x:c r="T34" s="30" t="str"/>
      <x:c r="U34" s="30" t="str"/>
      <x:c r="V34" s="30" t="str"/>
      <x:c r="W34" s="30" t="str"/>
      <x:c r="X34" s="30" t="str"/>
      <x:c r="Y34" s="30" t="str">
        <x:v>Not Started</x:v>
      </x:c>
      <x:c r="Z34" s="30" t="str"/>
    </x:row>
    <x:row r="35" ht="22" customHeight="1">
      <x:c r="A35" s="30" t="str">
        <x:v>Accountaides Inc</x:v>
      </x:c>
      <x:c r="B35" s="30" t="str"/>
      <x:c r="C35" s="30" t="str"/>
      <x:c r="D35" s="30" t="str">
        <x:v>West Springfield</x:v>
      </x:c>
      <x:c r="E35" s="30" t="str">
        <x:v>MA</x:v>
      </x:c>
      <x:c r="F35" s="30" t="str"/>
      <x:c r="G35" s="30" t="str">
        <x:v>https://docs.google.com/spreadsheets/d/1Ns01a6n2IrCh1jhWsSbXCwKrbzXkwslYkbMww9RBetk/edit?gid=0</x:v>
      </x:c>
      <x:c r="H35" s="93" t="b">
        <x:v>1</x:v>
      </x:c>
      <x:c r="I35" s="30" t="str">
        <x:v>Apollo</x:v>
      </x:c>
      <x:c r="J35" s="30" t="str">
        <x:v>ChatGPT.docx</x:v>
      </x:c>
      <x:c r="K35" s="30" t="str">
        <x:v>Verified Express grant</x:v>
      </x:c>
      <x:c r="L35" s="30" t="str">
        <x:v>Express grant</x:v>
      </x:c>
      <x:c r="M35" s="30" t="str">
        <x:v>CommCorp grantee sheet [14]</x:v>
      </x:c>
      <x:c r="N35" s="30" t="str">
        <x:v>2023, 2024, 2025</x:v>
      </x:c>
      <x:c r="O35" s="87"/>
      <x:c r="P35" s="90"/>
      <x:c r="Q35" s="30" t="str"/>
      <x:c r="R35" s="30" t="str"/>
      <x:c r="S35" s="30" t="str"/>
      <x:c r="T35" s="30" t="str"/>
      <x:c r="U35" s="30" t="str"/>
      <x:c r="V35" s="30" t="str"/>
      <x:c r="W35" s="30" t="str"/>
      <x:c r="X35" s="30" t="str"/>
      <x:c r="Y35" s="30" t="str">
        <x:v>Not Started</x:v>
      </x:c>
      <x:c r="Z35" s="30" t="str"/>
    </x:row>
    <x:row r="36" ht="22" customHeight="1">
      <x:c r="A36" s="30" t="str">
        <x:v>AccounTax Associates LLC</x:v>
      </x:c>
      <x:c r="B36" s="30" t="str"/>
      <x:c r="C36" s="30" t="str"/>
      <x:c r="D36" s="30" t="str">
        <x:v>Chelmsford</x:v>
      </x:c>
      <x:c r="E36" s="30" t="str">
        <x:v>MA</x:v>
      </x:c>
      <x:c r="F36" s="30" t="str"/>
      <x:c r="G36" s="30" t="str">
        <x:v>https://docs.google.com/spreadsheets/d/1Ns01a6n2IrCh1jhWsSbXCwKrbzXkwslYkbMww9RBetk/edit?gid=0</x:v>
      </x:c>
      <x:c r="H36" s="93" t="b">
        <x:v>1</x:v>
      </x:c>
      <x:c r="I36" s="30" t="str">
        <x:v>Apollo</x:v>
      </x:c>
      <x:c r="J36" s="30" t="str">
        <x:v>ChatGPT.docx</x:v>
      </x:c>
      <x:c r="K36" s="30" t="str">
        <x:v>Verified Express grant</x:v>
      </x:c>
      <x:c r="L36" s="30" t="str">
        <x:v>Express grant</x:v>
      </x:c>
      <x:c r="M36" s="30" t="str">
        <x:v>CommCorp grantee sheet [14]</x:v>
      </x:c>
      <x:c r="N36" s="30" t="str">
        <x:v>2025</x:v>
      </x:c>
      <x:c r="O36" s="87"/>
      <x:c r="P36" s="90"/>
      <x:c r="Q36" s="30" t="str"/>
      <x:c r="R36" s="30" t="str"/>
      <x:c r="S36" s="30" t="str"/>
      <x:c r="T36" s="30" t="str"/>
      <x:c r="U36" s="30" t="str"/>
      <x:c r="V36" s="30" t="str"/>
      <x:c r="W36" s="30" t="str"/>
      <x:c r="X36" s="30" t="str"/>
      <x:c r="Y36" s="30" t="str">
        <x:v>Not Started</x:v>
      </x:c>
      <x:c r="Z36" s="30" t="str"/>
    </x:row>
    <x:row r="37" ht="22" customHeight="1">
      <x:c r="A37" s="30" t="str">
        <x:v>Accumet Engineering Inc.</x:v>
      </x:c>
      <x:c r="B37" s="30" t="str"/>
      <x:c r="C37" s="30" t="str"/>
      <x:c r="D37" s="30" t="str">
        <x:v>Devens</x:v>
      </x:c>
      <x:c r="E37" s="30" t="str">
        <x:v>MA</x:v>
      </x:c>
      <x:c r="F37" s="30" t="str"/>
      <x:c r="G37" s="30" t="str">
        <x:v>https://docs.google.com/spreadsheets/d/1Ns01a6n2IrCh1jhWsSbXCwKrbzXkwslYkbMww9RBetk/edit?gid=0</x:v>
      </x:c>
      <x:c r="H37" s="93" t="b">
        <x:v>1</x:v>
      </x:c>
      <x:c r="I37" s="30" t="str">
        <x:v>Apollo</x:v>
      </x:c>
      <x:c r="J37" s="30" t="str">
        <x:v>ChatGPT.docx</x:v>
      </x:c>
      <x:c r="K37" s="30" t="str">
        <x:v>Verified Express grant</x:v>
      </x:c>
      <x:c r="L37" s="30" t="str">
        <x:v>Express grant</x:v>
      </x:c>
      <x:c r="M37" s="30" t="str">
        <x:v>CommCorp grantee sheet [14]</x:v>
      </x:c>
      <x:c r="N37" s="30" t="str">
        <x:v>2024</x:v>
      </x:c>
      <x:c r="O37" s="87"/>
      <x:c r="P37" s="90"/>
      <x:c r="Q37" s="30" t="str"/>
      <x:c r="R37" s="30" t="str"/>
      <x:c r="S37" s="30" t="str"/>
      <x:c r="T37" s="30" t="str"/>
      <x:c r="U37" s="30" t="str"/>
      <x:c r="V37" s="30" t="str"/>
      <x:c r="W37" s="30" t="str"/>
      <x:c r="X37" s="30" t="str"/>
      <x:c r="Y37" s="30" t="str">
        <x:v>Not Started</x:v>
      </x:c>
      <x:c r="Z37" s="30" t="str"/>
    </x:row>
    <x:row r="38" ht="22" customHeight="1">
      <x:c r="A38" s="30" t="str">
        <x:v>ACCURATE MEDICAL COOLING INC</x:v>
      </x:c>
      <x:c r="B38" s="30" t="str"/>
      <x:c r="C38" s="30" t="str"/>
      <x:c r="D38" s="30" t="str">
        <x:v>North Brookfield</x:v>
      </x:c>
      <x:c r="E38" s="30" t="str">
        <x:v>MA</x:v>
      </x:c>
      <x:c r="F38" s="30" t="str"/>
      <x:c r="G38" s="30" t="str">
        <x:v>https://docs.google.com/spreadsheets/d/1Ns01a6n2IrCh1jhWsSbXCwKrbzXkwslYkbMww9RBetk/edit?gid=0</x:v>
      </x:c>
      <x:c r="H38" s="93" t="b">
        <x:v>1</x:v>
      </x:c>
      <x:c r="I38" s="30" t="str">
        <x:v>Apollo</x:v>
      </x:c>
      <x:c r="J38" s="30" t="str">
        <x:v>ChatGPT.docx</x:v>
      </x:c>
      <x:c r="K38" s="30" t="str">
        <x:v>Verified Express grant</x:v>
      </x:c>
      <x:c r="L38" s="30" t="str">
        <x:v>Express grant</x:v>
      </x:c>
      <x:c r="M38" s="30" t="str">
        <x:v>CommCorp grantee sheet [14]</x:v>
      </x:c>
      <x:c r="N38" s="30" t="str">
        <x:v>2024</x:v>
      </x:c>
      <x:c r="O38" s="87"/>
      <x:c r="P38" s="90"/>
      <x:c r="Q38" s="30" t="str"/>
      <x:c r="R38" s="30" t="str"/>
      <x:c r="S38" s="30" t="str"/>
      <x:c r="T38" s="30" t="str"/>
      <x:c r="U38" s="30" t="str"/>
      <x:c r="V38" s="30" t="str"/>
      <x:c r="W38" s="30" t="str"/>
      <x:c r="X38" s="30" t="str"/>
      <x:c r="Y38" s="30" t="str">
        <x:v>Not Started</x:v>
      </x:c>
      <x:c r="Z38" s="30" t="str"/>
    </x:row>
    <x:row r="39" ht="22" customHeight="1">
      <x:c r="A39" s="30" t="str">
        <x:v>Accutech Packaging, Inc.</x:v>
      </x:c>
      <x:c r="B39" s="30" t="str"/>
      <x:c r="C39" s="30" t="str"/>
      <x:c r="D39" s="30" t="str">
        <x:v>Foxborough</x:v>
      </x:c>
      <x:c r="E39" s="30" t="str">
        <x:v>MA</x:v>
      </x:c>
      <x:c r="F39" s="30" t="str"/>
      <x:c r="G39" s="30" t="str">
        <x:v>https://docs.google.com/spreadsheets/d/1Ns01a6n2IrCh1jhWsSbXCwKrbzXkwslYkbMww9RBetk/edit?gid=0</x:v>
      </x:c>
      <x:c r="H39" s="93" t="b">
        <x:v>1</x:v>
      </x:c>
      <x:c r="I39" s="30" t="str">
        <x:v>Apollo</x:v>
      </x:c>
      <x:c r="J39" s="30" t="str">
        <x:v>ChatGPT.docx</x:v>
      </x:c>
      <x:c r="K39" s="30" t="str">
        <x:v>Verified Express grant</x:v>
      </x:c>
      <x:c r="L39" s="30" t="str">
        <x:v>Express grant</x:v>
      </x:c>
      <x:c r="M39" s="30" t="str">
        <x:v>CommCorp grantee sheet [14]</x:v>
      </x:c>
      <x:c r="N39" s="30" t="str">
        <x:v>2024</x:v>
      </x:c>
      <x:c r="O39" s="87"/>
      <x:c r="P39" s="90"/>
      <x:c r="Q39" s="30" t="str"/>
      <x:c r="R39" s="30" t="str"/>
      <x:c r="S39" s="30" t="str"/>
      <x:c r="T39" s="30" t="str"/>
      <x:c r="U39" s="30" t="str"/>
      <x:c r="V39" s="30" t="str"/>
      <x:c r="W39" s="30" t="str"/>
      <x:c r="X39" s="30" t="str"/>
      <x:c r="Y39" s="30" t="str">
        <x:v>Not Started</x:v>
      </x:c>
      <x:c r="Z39" s="30" t="str"/>
    </x:row>
    <x:row r="40" ht="22" customHeight="1">
      <x:c r="A40" s="30" t="str">
        <x:v>Accutronics LLC</x:v>
      </x:c>
      <x:c r="B40" s="30" t="str"/>
      <x:c r="C40" s="30" t="str"/>
      <x:c r="D40" s="30" t="str">
        <x:v>Chelmsford</x:v>
      </x:c>
      <x:c r="E40" s="30" t="str">
        <x:v>MA</x:v>
      </x:c>
      <x:c r="F40" s="30" t="str"/>
      <x:c r="G40" s="30" t="str">
        <x:v>https://docs.google.com/spreadsheets/d/1Ns01a6n2IrCh1jhWsSbXCwKrbzXkwslYkbMww9RBetk/edit?gid=0</x:v>
      </x:c>
      <x:c r="H40" s="93" t="b">
        <x:v>1</x:v>
      </x:c>
      <x:c r="I40" s="30" t="str">
        <x:v>Apollo</x:v>
      </x:c>
      <x:c r="J40" s="30" t="str">
        <x:v>ChatGPT.docx</x:v>
      </x:c>
      <x:c r="K40" s="30" t="str">
        <x:v>Verified Express grant</x:v>
      </x:c>
      <x:c r="L40" s="30" t="str">
        <x:v>Express grant</x:v>
      </x:c>
      <x:c r="M40" s="30" t="str">
        <x:v>CommCorp grantee sheet [14]</x:v>
      </x:c>
      <x:c r="N40" s="30" t="str">
        <x:v>2025</x:v>
      </x:c>
      <x:c r="O40" s="87"/>
      <x:c r="P40" s="90"/>
      <x:c r="Q40" s="30" t="str"/>
      <x:c r="R40" s="30" t="str"/>
      <x:c r="S40" s="30" t="str"/>
      <x:c r="T40" s="30" t="str"/>
      <x:c r="U40" s="30" t="str"/>
      <x:c r="V40" s="30" t="str"/>
      <x:c r="W40" s="30" t="str"/>
      <x:c r="X40" s="30" t="str"/>
      <x:c r="Y40" s="30" t="str">
        <x:v>Not Started</x:v>
      </x:c>
      <x:c r="Z40" s="30" t="str"/>
    </x:row>
    <x:row r="41" ht="22" customHeight="1">
      <x:c r="A41" s="30" t="str">
        <x:v>Aclarity Inc.</x:v>
      </x:c>
      <x:c r="B41" s="30" t="str"/>
      <x:c r="C41" s="30" t="str"/>
      <x:c r="D41" s="30" t="str">
        <x:v>Medway</x:v>
      </x:c>
      <x:c r="E41" s="30" t="str">
        <x:v>MA</x:v>
      </x:c>
      <x:c r="F41" s="30" t="str"/>
      <x:c r="G41" s="30" t="str">
        <x:v>https://docs.google.com/spreadsheets/d/1Ns01a6n2IrCh1jhWsSbXCwKrbzXkwslYkbMww9RBetk/edit?gid=0</x:v>
      </x:c>
      <x:c r="H41" s="93" t="b">
        <x:v>1</x:v>
      </x:c>
      <x:c r="I41" s="30" t="str">
        <x:v>Apollo</x:v>
      </x:c>
      <x:c r="J41" s="30" t="str">
        <x:v>ChatGPT.docx</x:v>
      </x:c>
      <x:c r="K41" s="30" t="str">
        <x:v>Verified Express grant</x:v>
      </x:c>
      <x:c r="L41" s="30" t="str">
        <x:v>Express grant</x:v>
      </x:c>
      <x:c r="M41" s="30" t="str">
        <x:v>CommCorp grantee sheet [14]</x:v>
      </x:c>
      <x:c r="N41" s="30" t="str">
        <x:v>2024</x:v>
      </x:c>
      <x:c r="O41" s="87"/>
      <x:c r="P41" s="90"/>
      <x:c r="Q41" s="30" t="str"/>
      <x:c r="R41" s="30" t="str"/>
      <x:c r="S41" s="30" t="str"/>
      <x:c r="T41" s="30" t="str"/>
      <x:c r="U41" s="30" t="str"/>
      <x:c r="V41" s="30" t="str"/>
      <x:c r="W41" s="30" t="str"/>
      <x:c r="X41" s="30" t="str"/>
      <x:c r="Y41" s="30" t="str">
        <x:v>Not Started</x:v>
      </x:c>
      <x:c r="Z41" s="30" t="str"/>
    </x:row>
    <x:row r="42" ht="22" customHeight="1">
      <x:c r="A42" s="30" t="str">
        <x:v>ACNS Acquisition, LLC</x:v>
      </x:c>
      <x:c r="B42" s="30" t="str"/>
      <x:c r="C42" s="30" t="str"/>
      <x:c r="D42" s="30" t="str">
        <x:v>North Attleborough</x:v>
      </x:c>
      <x:c r="E42" s="30" t="str">
        <x:v>MA</x:v>
      </x:c>
      <x:c r="F42" s="30" t="str"/>
      <x:c r="G42" s="30" t="str">
        <x:v>https://docs.google.com/spreadsheets/d/1Ns01a6n2IrCh1jhWsSbXCwKrbzXkwslYkbMww9RBetk/edit?gid=0</x:v>
      </x:c>
      <x:c r="H42" s="93" t="b">
        <x:v>1</x:v>
      </x:c>
      <x:c r="I42" s="30" t="str">
        <x:v>Apollo</x:v>
      </x:c>
      <x:c r="J42" s="30" t="str">
        <x:v>ChatGPT.docx</x:v>
      </x:c>
      <x:c r="K42" s="30" t="str">
        <x:v>Verified Express grant</x:v>
      </x:c>
      <x:c r="L42" s="30" t="str">
        <x:v>Express grant</x:v>
      </x:c>
      <x:c r="M42" s="30" t="str">
        <x:v>CommCorp grantee sheet [14]</x:v>
      </x:c>
      <x:c r="N42" s="30" t="str">
        <x:v>2023, 2024</x:v>
      </x:c>
      <x:c r="O42" s="87"/>
      <x:c r="P42" s="90"/>
      <x:c r="Q42" s="30" t="str"/>
      <x:c r="R42" s="30" t="str"/>
      <x:c r="S42" s="30" t="str"/>
      <x:c r="T42" s="30" t="str"/>
      <x:c r="U42" s="30" t="str"/>
      <x:c r="V42" s="30" t="str"/>
      <x:c r="W42" s="30" t="str"/>
      <x:c r="X42" s="30" t="str"/>
      <x:c r="Y42" s="30" t="str">
        <x:v>Not Started</x:v>
      </x:c>
      <x:c r="Z42" s="30" t="str"/>
    </x:row>
    <x:row r="43" ht="22" customHeight="1">
      <x:c r="A43" s="30" t="str">
        <x:v>Acoustic Wells Inc</x:v>
      </x:c>
      <x:c r="B43" s="30" t="str"/>
      <x:c r="C43" s="30" t="str"/>
      <x:c r="D43" s="30" t="str">
        <x:v>Boston</x:v>
      </x:c>
      <x:c r="E43" s="30" t="str">
        <x:v>MA</x:v>
      </x:c>
      <x:c r="F43" s="30" t="str"/>
      <x:c r="G43" s="30" t="str">
        <x:v>https://docs.google.com/spreadsheets/d/1Ns01a6n2IrCh1jhWsSbXCwKrbzXkwslYkbMww9RBetk/edit?gid=0</x:v>
      </x:c>
      <x:c r="H43" s="93" t="b">
        <x:v>1</x:v>
      </x:c>
      <x:c r="I43" s="30" t="str">
        <x:v>Apollo</x:v>
      </x:c>
      <x:c r="J43" s="30" t="str">
        <x:v>ChatGPT.docx</x:v>
      </x:c>
      <x:c r="K43" s="30" t="str">
        <x:v>Verified Express grant</x:v>
      </x:c>
      <x:c r="L43" s="30" t="str">
        <x:v>Express grant</x:v>
      </x:c>
      <x:c r="M43" s="30" t="str">
        <x:v>CommCorp grantee sheet [14]</x:v>
      </x:c>
      <x:c r="N43" s="30" t="str">
        <x:v>2023</x:v>
      </x:c>
      <x:c r="O43" s="87"/>
      <x:c r="P43" s="90"/>
      <x:c r="Q43" s="30" t="str"/>
      <x:c r="R43" s="30" t="str"/>
      <x:c r="S43" s="30" t="str"/>
      <x:c r="T43" s="30" t="str"/>
      <x:c r="U43" s="30" t="str"/>
      <x:c r="V43" s="30" t="str"/>
      <x:c r="W43" s="30" t="str"/>
      <x:c r="X43" s="30" t="str"/>
      <x:c r="Y43" s="30" t="str">
        <x:v>Not Started</x:v>
      </x:c>
      <x:c r="Z43" s="30" t="str"/>
    </x:row>
    <x:row r="44" ht="22" customHeight="1">
      <x:c r="A44" s="30" t="str">
        <x:v>Acrivon Therapeutics Inc.</x:v>
      </x:c>
      <x:c r="B44" s="30" t="str"/>
      <x:c r="C44" s="30" t="str"/>
      <x:c r="D44" s="30" t="str">
        <x:v>Watertown</x:v>
      </x:c>
      <x:c r="E44" s="30" t="str">
        <x:v>MA</x:v>
      </x:c>
      <x:c r="F44" s="30" t="str"/>
      <x:c r="G44" s="30" t="str">
        <x:v>https://docs.google.com/spreadsheets/d/1Ns01a6n2IrCh1jhWsSbXCwKrbzXkwslYkbMww9RBetk/edit?gid=0</x:v>
      </x:c>
      <x:c r="H44" s="93" t="b">
        <x:v>1</x:v>
      </x:c>
      <x:c r="I44" s="30" t="str">
        <x:v>Apollo</x:v>
      </x:c>
      <x:c r="J44" s="30" t="str">
        <x:v>ChatGPT.docx</x:v>
      </x:c>
      <x:c r="K44" s="30" t="str">
        <x:v>Verified Express grant</x:v>
      </x:c>
      <x:c r="L44" s="30" t="str">
        <x:v>Express grant</x:v>
      </x:c>
      <x:c r="M44" s="30" t="str">
        <x:v>CommCorp grantee sheet [14]</x:v>
      </x:c>
      <x:c r="N44" s="30" t="str">
        <x:v>2023</x:v>
      </x:c>
      <x:c r="O44" s="87"/>
      <x:c r="P44" s="90"/>
      <x:c r="Q44" s="30" t="str"/>
      <x:c r="R44" s="30" t="str"/>
      <x:c r="S44" s="30" t="str"/>
      <x:c r="T44" s="30" t="str"/>
      <x:c r="U44" s="30" t="str"/>
      <x:c r="V44" s="30" t="str"/>
      <x:c r="W44" s="30" t="str"/>
      <x:c r="X44" s="30" t="str"/>
      <x:c r="Y44" s="30" t="str">
        <x:v>Not Started</x:v>
      </x:c>
      <x:c r="Z44" s="30" t="str"/>
    </x:row>
    <x:row r="45" ht="22" customHeight="1">
      <x:c r="A45" s="30" t="str">
        <x:v>Acropolis Design Consultants Inc.</x:v>
      </x:c>
      <x:c r="B45" s="30" t="str"/>
      <x:c r="C45" s="30" t="str"/>
      <x:c r="D45" s="30" t="str">
        <x:v>Worcester</x:v>
      </x:c>
      <x:c r="E45" s="30" t="str">
        <x:v>MA</x:v>
      </x:c>
      <x:c r="F45" s="30" t="str"/>
      <x:c r="G45" s="30" t="str">
        <x:v>https://docs.google.com/spreadsheets/d/1Ns01a6n2IrCh1jhWsSbXCwKrbzXkwslYkbMww9RBetk/edit?gid=0</x:v>
      </x:c>
      <x:c r="H45" s="93" t="b">
        <x:v>1</x:v>
      </x:c>
      <x:c r="I45" s="30" t="str">
        <x:v>Apollo</x:v>
      </x:c>
      <x:c r="J45" s="30" t="str">
        <x:v>ChatGPT.docx</x:v>
      </x:c>
      <x:c r="K45" s="30" t="str">
        <x:v>Verified Express grant</x:v>
      </x:c>
      <x:c r="L45" s="30" t="str">
        <x:v>Express grant</x:v>
      </x:c>
      <x:c r="M45" s="30" t="str">
        <x:v>CommCorp grantee sheet [14]</x:v>
      </x:c>
      <x:c r="N45" s="30" t="str">
        <x:v>2024</x:v>
      </x:c>
      <x:c r="O45" s="87"/>
      <x:c r="P45" s="90"/>
      <x:c r="Q45" s="30" t="str"/>
      <x:c r="R45" s="30" t="str"/>
      <x:c r="S45" s="30" t="str"/>
      <x:c r="T45" s="30" t="str"/>
      <x:c r="U45" s="30" t="str"/>
      <x:c r="V45" s="30" t="str"/>
      <x:c r="W45" s="30" t="str"/>
      <x:c r="X45" s="30" t="str"/>
      <x:c r="Y45" s="30" t="str">
        <x:v>Not Started</x:v>
      </x:c>
      <x:c r="Z45" s="30" t="str"/>
    </x:row>
    <x:row r="46" ht="22" customHeight="1">
      <x:c r="A46" s="30" t="str">
        <x:v>ACS Computer Services Inc.</x:v>
      </x:c>
      <x:c r="B46" s="30" t="str"/>
      <x:c r="C46" s="30" t="str"/>
      <x:c r="D46" s="30" t="str">
        <x:v>Brockton</x:v>
      </x:c>
      <x:c r="E46" s="30" t="str">
        <x:v>MA</x:v>
      </x:c>
      <x:c r="F46" s="30" t="str"/>
      <x:c r="G46" s="30" t="str">
        <x:v>https://docs.google.com/spreadsheets/d/1Ns01a6n2IrCh1jhWsSbXCwKrbzXkwslYkbMww9RBetk/edit?gid=0</x:v>
      </x:c>
      <x:c r="H46" s="93" t="b">
        <x:v>1</x:v>
      </x:c>
      <x:c r="I46" s="30" t="str">
        <x:v>Apollo</x:v>
      </x:c>
      <x:c r="J46" s="30" t="str">
        <x:v>ChatGPT.docx</x:v>
      </x:c>
      <x:c r="K46" s="30" t="str">
        <x:v>Verified Express grant</x:v>
      </x:c>
      <x:c r="L46" s="30" t="str">
        <x:v>Express grant</x:v>
      </x:c>
      <x:c r="M46" s="30" t="str">
        <x:v>CommCorp grantee sheet; one 2025 text rendering appears as “A ACS Services Inc.” in the browser view [14]</x:v>
      </x:c>
      <x:c r="N46" s="30" t="str">
        <x:v>2023, 2024, 2025</x:v>
      </x:c>
      <x:c r="O46" s="87"/>
      <x:c r="P46" s="90"/>
      <x:c r="Q46" s="30" t="str"/>
      <x:c r="R46" s="30" t="str"/>
      <x:c r="S46" s="30" t="str"/>
      <x:c r="T46" s="30" t="str"/>
      <x:c r="U46" s="30" t="str"/>
      <x:c r="V46" s="30" t="str"/>
      <x:c r="W46" s="30" t="str"/>
      <x:c r="X46" s="30" t="str"/>
      <x:c r="Y46" s="30" t="str">
        <x:v>Not Started</x:v>
      </x:c>
      <x:c r="Z46" s="30" t="str"/>
    </x:row>
    <x:row r="47" ht="22" customHeight="1">
      <x:c r="A47" s="30" t="str">
        <x:v>ACT Financial Services Inc</x:v>
      </x:c>
      <x:c r="B47" s="30" t="str"/>
      <x:c r="C47" s="30" t="str"/>
      <x:c r="D47" s="30" t="str">
        <x:v>Duxbury</x:v>
      </x:c>
      <x:c r="E47" s="30" t="str">
        <x:v>MA</x:v>
      </x:c>
      <x:c r="F47" s="30" t="str"/>
      <x:c r="G47" s="30" t="str">
        <x:v>https://docs.google.com/spreadsheets/d/1Ns01a6n2IrCh1jhWsSbXCwKrbzXkwslYkbMww9RBetk/edit?gid=0</x:v>
      </x:c>
      <x:c r="H47" s="93" t="b">
        <x:v>1</x:v>
      </x:c>
      <x:c r="I47" s="30" t="str">
        <x:v>Apollo</x:v>
      </x:c>
      <x:c r="J47" s="30" t="str">
        <x:v>ChatGPT.docx</x:v>
      </x:c>
      <x:c r="K47" s="30" t="str">
        <x:v>Verified Express grant</x:v>
      </x:c>
      <x:c r="L47" s="30" t="str">
        <x:v>Express grant</x:v>
      </x:c>
      <x:c r="M47" s="30" t="str">
        <x:v>CommCorp grantee sheet [14]</x:v>
      </x:c>
      <x:c r="N47" s="30" t="str">
        <x:v>2023, 2024, 2025</x:v>
      </x:c>
      <x:c r="O47" s="87"/>
      <x:c r="P47" s="90"/>
      <x:c r="Q47" s="30" t="str"/>
      <x:c r="R47" s="30" t="str"/>
      <x:c r="S47" s="30" t="str"/>
      <x:c r="T47" s="30" t="str"/>
      <x:c r="U47" s="30" t="str"/>
      <x:c r="V47" s="30" t="str"/>
      <x:c r="W47" s="30" t="str"/>
      <x:c r="X47" s="30" t="str"/>
      <x:c r="Y47" s="30" t="str">
        <x:v>Not Started</x:v>
      </x:c>
      <x:c r="Z47" s="30" t="str"/>
    </x:row>
    <x:row r="48" ht="22" customHeight="1">
      <x:c r="A48" s="30" t="str">
        <x:v>Activ Surgical, Inc.</x:v>
      </x:c>
      <x:c r="B48" s="30" t="str"/>
      <x:c r="C48" s="30" t="str"/>
      <x:c r="D48" s="30" t="str">
        <x:v>Boston</x:v>
      </x:c>
      <x:c r="E48" s="30" t="str">
        <x:v>MA</x:v>
      </x:c>
      <x:c r="F48" s="30" t="str"/>
      <x:c r="G48" s="30" t="str">
        <x:v>https://docs.google.com/spreadsheets/d/1Ns01a6n2IrCh1jhWsSbXCwKrbzXkwslYkbMww9RBetk/edit?gid=0</x:v>
      </x:c>
      <x:c r="H48" s="93" t="b">
        <x:v>1</x:v>
      </x:c>
      <x:c r="I48" s="30" t="str">
        <x:v>Apollo</x:v>
      </x:c>
      <x:c r="J48" s="30" t="str">
        <x:v>ChatGPT.docx</x:v>
      </x:c>
      <x:c r="K48" s="30" t="str">
        <x:v>Verified Express grant</x:v>
      </x:c>
      <x:c r="L48" s="30" t="str">
        <x:v>Express grant</x:v>
      </x:c>
      <x:c r="M48" s="30" t="str">
        <x:v>CommCorp grantee sheet [14]</x:v>
      </x:c>
      <x:c r="N48" s="30" t="str">
        <x:v>2023</x:v>
      </x:c>
      <x:c r="O48" s="87"/>
      <x:c r="P48" s="90"/>
      <x:c r="Q48" s="30" t="str"/>
      <x:c r="R48" s="30" t="str"/>
      <x:c r="S48" s="30" t="str"/>
      <x:c r="T48" s="30" t="str"/>
      <x:c r="U48" s="30" t="str"/>
      <x:c r="V48" s="30" t="str"/>
      <x:c r="W48" s="30" t="str"/>
      <x:c r="X48" s="30" t="str"/>
      <x:c r="Y48" s="30" t="str">
        <x:v>Not Started</x:v>
      </x:c>
      <x:c r="Z48" s="30" t="str"/>
    </x:row>
    <x:row r="49" ht="22" customHeight="1">
      <x:c r="A49" s="30" t="str">
        <x:v>3XR Inc.</x:v>
      </x:c>
      <x:c r="B49" s="30" t="str"/>
      <x:c r="C49" s="30" t="str"/>
      <x:c r="D49" s="30" t="str">
        <x:v>Wakefield</x:v>
      </x:c>
      <x:c r="E49" s="30" t="str">
        <x:v>MA</x:v>
      </x:c>
      <x:c r="F49" s="30" t="str"/>
      <x:c r="G49" s="30" t="str">
        <x:v>https://www.mass.gov/doc/opmo-fy2020-commcorp-report-attachment/download?utm_source=chatgpt.com</x:v>
      </x:c>
      <x:c r="H49" s="93" t="b">
        <x:v>1</x:v>
      </x:c>
      <x:c r="I49" s="30" t="str">
        <x:v>Apollo</x:v>
      </x:c>
      <x:c r="J49" s="30" t="str">
        <x:v>ChatGPT.docx</x:v>
      </x:c>
      <x:c r="K49" s="30" t="str">
        <x:v>Verified Express grant</x:v>
      </x:c>
      <x:c r="L49" s="30" t="str">
        <x:v>WTFP Express Program Incumbent Worker Training</x:v>
      </x:c>
      <x:c r="M49" s="30" t="str">
        <x:v>Official Mass.gov OPMO attachment snippet [16]</x:v>
      </x:c>
      <x:c r="N49" s="30" t="str">
        <x:v>FY2020</x:v>
      </x:c>
      <x:c r="O49" s="87"/>
      <x:c r="P49" s="90"/>
      <x:c r="Q49" s="30" t="str"/>
      <x:c r="R49" s="30" t="str"/>
      <x:c r="S49" s="30" t="str"/>
      <x:c r="T49" s="30" t="str"/>
      <x:c r="U49" s="30" t="str"/>
      <x:c r="V49" s="30" t="str"/>
      <x:c r="W49" s="30" t="str"/>
      <x:c r="X49" s="30" t="str"/>
      <x:c r="Y49" s="30" t="str">
        <x:v>Not Started</x:v>
      </x:c>
      <x:c r="Z49" s="30" t="str"/>
    </x:row>
    <x:row r="50" ht="22" customHeight="1">
      <x:c r="A50" s="30" t="str">
        <x:v>A &amp; A Window Products, Inc.</x:v>
      </x:c>
      <x:c r="B50" s="30" t="str"/>
      <x:c r="C50" s="30" t="str"/>
      <x:c r="D50" s="30" t="str">
        <x:v>Malden</x:v>
      </x:c>
      <x:c r="E50" s="30" t="str">
        <x:v>MA</x:v>
      </x:c>
      <x:c r="F50" s="30" t="str"/>
      <x:c r="G50" s="30" t="str">
        <x:v>https://www.mass.gov/doc/opmo-fy2020-commcorp-report-attachment/download?utm_source=chatgpt.com</x:v>
      </x:c>
      <x:c r="H50" s="93" t="b">
        <x:v>1</x:v>
      </x:c>
      <x:c r="I50" s="30" t="str">
        <x:v>Apollo</x:v>
      </x:c>
      <x:c r="J50" s="30" t="str">
        <x:v>ChatGPT.docx</x:v>
      </x:c>
      <x:c r="K50" s="30" t="str">
        <x:v>Verified Express grant</x:v>
      </x:c>
      <x:c r="L50" s="30" t="str">
        <x:v>WTFP Express Program Incumbent Worker Training</x:v>
      </x:c>
      <x:c r="M50" s="30" t="str">
        <x:v>Official Mass.gov OPMO attachment snippet [17]</x:v>
      </x:c>
      <x:c r="N50" s="30" t="str">
        <x:v>FY2020</x:v>
      </x:c>
      <x:c r="O50" s="87"/>
      <x:c r="P50" s="90"/>
      <x:c r="Q50" s="30" t="str"/>
      <x:c r="R50" s="30" t="str"/>
      <x:c r="S50" s="30" t="str"/>
      <x:c r="T50" s="30" t="str"/>
      <x:c r="U50" s="30" t="str"/>
      <x:c r="V50" s="30" t="str"/>
      <x:c r="W50" s="30" t="str"/>
      <x:c r="X50" s="30" t="str"/>
      <x:c r="Y50" s="30" t="str">
        <x:v>Not Started</x:v>
      </x:c>
      <x:c r="Z50" s="30" t="str"/>
    </x:row>
    <x:row r="51" ht="22" customHeight="1">
      <x:c r="A51" s="30" t="str">
        <x:v>A.M.A. Transportation Co. Inc.</x:v>
      </x:c>
      <x:c r="B51" s="30" t="str"/>
      <x:c r="C51" s="30" t="str"/>
      <x:c r="D51" s="30" t="str">
        <x:v>Billerica</x:v>
      </x:c>
      <x:c r="E51" s="30" t="str">
        <x:v>MA</x:v>
      </x:c>
      <x:c r="F51" s="30" t="str"/>
      <x:c r="G51" s="30" t="str">
        <x:v>https://www.mass.gov/doc/opmo-fy2020-commcorp-report-attachment/download?utm_source=chatgpt.com</x:v>
      </x:c>
      <x:c r="H51" s="93" t="b">
        <x:v>1</x:v>
      </x:c>
      <x:c r="I51" s="30" t="str">
        <x:v>Apollo</x:v>
      </x:c>
      <x:c r="J51" s="30" t="str">
        <x:v>ChatGPT.docx</x:v>
      </x:c>
      <x:c r="K51" s="30" t="str">
        <x:v>Verified Express grant</x:v>
      </x:c>
      <x:c r="L51" s="30" t="str">
        <x:v>WTFP Express Program Incumbent Worker Training</x:v>
      </x:c>
      <x:c r="M51" s="30" t="str">
        <x:v>Official Mass.gov OPMO attachment snippet [18]</x:v>
      </x:c>
      <x:c r="N51" s="30" t="str">
        <x:v>FY2020</x:v>
      </x:c>
      <x:c r="O51" s="87"/>
      <x:c r="P51" s="90"/>
      <x:c r="Q51" s="30" t="str"/>
      <x:c r="R51" s="30" t="str"/>
      <x:c r="S51" s="30" t="str"/>
      <x:c r="T51" s="30" t="str"/>
      <x:c r="U51" s="30" t="str"/>
      <x:c r="V51" s="30" t="str"/>
      <x:c r="W51" s="30" t="str"/>
      <x:c r="X51" s="30" t="str"/>
      <x:c r="Y51" s="30" t="str">
        <x:v>Not Started</x:v>
      </x:c>
      <x:c r="Z51" s="30" t="str"/>
    </x:row>
    <x:row r="52" ht="22" customHeight="1">
      <x:c r="A52" s="30" t="str">
        <x:v>A3 Architects Inc.</x:v>
      </x:c>
      <x:c r="B52" s="30" t="str"/>
      <x:c r="C52" s="30" t="str"/>
      <x:c r="D52" s="30" t="str">
        <x:v>Dennis</x:v>
      </x:c>
      <x:c r="E52" s="30" t="str">
        <x:v>MA</x:v>
      </x:c>
      <x:c r="F52" s="30" t="str"/>
      <x:c r="G52" s="30" t="str">
        <x:v>https://www.mass.gov/doc/opmo-fy2020-commcorp-report-attachment/download?utm_source=chatgpt.com</x:v>
      </x:c>
      <x:c r="H52" s="93" t="b">
        <x:v>1</x:v>
      </x:c>
      <x:c r="I52" s="30" t="str">
        <x:v>Apollo</x:v>
      </x:c>
      <x:c r="J52" s="30" t="str">
        <x:v>ChatGPT.docx</x:v>
      </x:c>
      <x:c r="K52" s="30" t="str">
        <x:v>Verified Express grant</x:v>
      </x:c>
      <x:c r="L52" s="30" t="str">
        <x:v>WTFP Express Program Incumbent Worker Training</x:v>
      </x:c>
      <x:c r="M52" s="30" t="str">
        <x:v>Official Mass.gov OPMO attachment snippet [19]</x:v>
      </x:c>
      <x:c r="N52" s="30" t="str">
        <x:v>FY2020</x:v>
      </x:c>
      <x:c r="O52" s="87"/>
      <x:c r="P52" s="90"/>
      <x:c r="Q52" s="30" t="str"/>
      <x:c r="R52" s="30" t="str"/>
      <x:c r="S52" s="30" t="str"/>
      <x:c r="T52" s="30" t="str"/>
      <x:c r="U52" s="30" t="str"/>
      <x:c r="V52" s="30" t="str"/>
      <x:c r="W52" s="30" t="str"/>
      <x:c r="X52" s="30" t="str"/>
      <x:c r="Y52" s="30" t="str">
        <x:v>Not Started</x:v>
      </x:c>
      <x:c r="Z52" s="30" t="str"/>
    </x:row>
    <x:row r="53" ht="22" customHeight="1">
      <x:c r="A53" s="30" t="str">
        <x:v>Architectural Engineers, Inc.</x:v>
      </x:c>
      <x:c r="B53" s="30" t="str"/>
      <x:c r="C53" s="30" t="str"/>
      <x:c r="D53" s="30" t="str">
        <x:v>Boston</x:v>
      </x:c>
      <x:c r="E53" s="30" t="str">
        <x:v>MA</x:v>
      </x:c>
      <x:c r="F53" s="30" t="str"/>
      <x:c r="G53" s="30" t="str">
        <x:v>https://www.mass.gov/doc/opmo-fy2021-commcorps-report-attachment/download?utm_source=chatgpt.com</x:v>
      </x:c>
      <x:c r="H53" s="93" t="b">
        <x:v>1</x:v>
      </x:c>
      <x:c r="I53" s="30" t="str">
        <x:v>Apollo</x:v>
      </x:c>
      <x:c r="J53" s="30" t="str">
        <x:v>ChatGPT.docx</x:v>
      </x:c>
      <x:c r="K53" s="30" t="str">
        <x:v>Verified Express grant</x:v>
      </x:c>
      <x:c r="L53" s="30" t="str">
        <x:v>WTFP Express Program Incumbent Worker Training</x:v>
      </x:c>
      <x:c r="M53" s="30" t="str">
        <x:v>Official Mass.gov OPMO attachment snippet [20]</x:v>
      </x:c>
      <x:c r="N53" s="30" t="str">
        <x:v>FY2021</x:v>
      </x:c>
      <x:c r="O53" s="87"/>
      <x:c r="P53" s="90"/>
      <x:c r="Q53" s="30" t="str"/>
      <x:c r="R53" s="30" t="str"/>
      <x:c r="S53" s="30" t="str"/>
      <x:c r="T53" s="30" t="str"/>
      <x:c r="U53" s="30" t="str"/>
      <x:c r="V53" s="30" t="str"/>
      <x:c r="W53" s="30" t="str"/>
      <x:c r="X53" s="30" t="str"/>
      <x:c r="Y53" s="30" t="str">
        <x:v>Not Started</x:v>
      </x:c>
      <x:c r="Z53" s="30" t="str"/>
    </x:row>
    <x:row r="54" ht="22" customHeight="1">
      <x:c r="A54" s="30" t="str">
        <x:v>Mass Tank Sales Corp.</x:v>
      </x:c>
      <x:c r="B54" s="30" t="str"/>
      <x:c r="C54" s="30" t="str"/>
      <x:c r="D54" s="30" t="str">
        <x:v>Middleboro</x:v>
      </x:c>
      <x:c r="E54" s="30" t="str">
        <x:v>MA</x:v>
      </x:c>
      <x:c r="F54" s="30" t="str"/>
      <x:c r="G54" s="30" t="str">
        <x:v>https://www.mass.gov/doc/opmo-fy2021-commcorps-report-attachment/download?utm_source=chatgpt.com</x:v>
      </x:c>
      <x:c r="H54" s="93" t="b">
        <x:v>1</x:v>
      </x:c>
      <x:c r="I54" s="30" t="str">
        <x:v>Apollo</x:v>
      </x:c>
      <x:c r="J54" s="30" t="str">
        <x:v>ChatGPT.docx</x:v>
      </x:c>
      <x:c r="K54" s="30" t="str">
        <x:v>Verified Express grant</x:v>
      </x:c>
      <x:c r="L54" s="30" t="str">
        <x:v>WTFP Express Program Incumbent Worker Training</x:v>
      </x:c>
      <x:c r="M54" s="30" t="str">
        <x:v>Official Mass.gov OPMO attachment snippet [21]</x:v>
      </x:c>
      <x:c r="N54" s="30" t="str">
        <x:v>FY2021</x:v>
      </x:c>
      <x:c r="O54" s="87"/>
      <x:c r="P54" s="90"/>
      <x:c r="Q54" s="30" t="str"/>
      <x:c r="R54" s="30" t="str"/>
      <x:c r="S54" s="30" t="str"/>
      <x:c r="T54" s="30" t="str"/>
      <x:c r="U54" s="30" t="str"/>
      <x:c r="V54" s="30" t="str"/>
      <x:c r="W54" s="30" t="str"/>
      <x:c r="X54" s="30" t="str"/>
      <x:c r="Y54" s="30" t="str">
        <x:v>Not Started</x:v>
      </x:c>
      <x:c r="Z54" s="30" t="str"/>
    </x:row>
    <x:row r="55" ht="22" customHeight="1">
      <x:c r="A55" s="30" t="str">
        <x:v>MedAcuity LLC</x:v>
      </x:c>
      <x:c r="B55" s="30" t="str"/>
      <x:c r="C55" s="30" t="str"/>
      <x:c r="D55" s="30" t="str">
        <x:v>Westford</x:v>
      </x:c>
      <x:c r="E55" s="30" t="str">
        <x:v>MA</x:v>
      </x:c>
      <x:c r="F55" s="30" t="str"/>
      <x:c r="G55" s="30" t="str">
        <x:v>https://www.mass.gov/doc/opmo-fy2021-commcorps-report-attachment/download?utm_source=chatgpt.com</x:v>
      </x:c>
      <x:c r="H55" s="93" t="b">
        <x:v>1</x:v>
      </x:c>
      <x:c r="I55" s="30" t="str">
        <x:v>Apollo</x:v>
      </x:c>
      <x:c r="J55" s="30" t="str">
        <x:v>ChatGPT.docx</x:v>
      </x:c>
      <x:c r="K55" s="30" t="str">
        <x:v>Verified Express grant</x:v>
      </x:c>
      <x:c r="L55" s="30" t="str">
        <x:v>WTFP Express Program Incumbent Worker Training</x:v>
      </x:c>
      <x:c r="M55" s="30" t="str">
        <x:v>Official Mass.gov OPMO attachment snippet [22]</x:v>
      </x:c>
      <x:c r="N55" s="30" t="str">
        <x:v>FY2021</x:v>
      </x:c>
      <x:c r="O55" s="87"/>
      <x:c r="P55" s="90"/>
      <x:c r="Q55" s="30" t="str"/>
      <x:c r="R55" s="30" t="str"/>
      <x:c r="S55" s="30" t="str"/>
      <x:c r="T55" s="30" t="str"/>
      <x:c r="U55" s="30" t="str"/>
      <x:c r="V55" s="30" t="str"/>
      <x:c r="W55" s="30" t="str"/>
      <x:c r="X55" s="30" t="str"/>
      <x:c r="Y55" s="30" t="str">
        <x:v>Not Started</x:v>
      </x:c>
      <x:c r="Z55" s="30" t="str"/>
    </x:row>
    <x:row r="56" ht="22" customHeight="1">
      <x:c r="A56" s="30" t="str">
        <x:v>AGRI MARK Inc.</x:v>
      </x:c>
      <x:c r="B56" s="30" t="str"/>
      <x:c r="C56" s="30" t="str"/>
      <x:c r="D56" s="30" t="str">
        <x:v>West Springfield</x:v>
      </x:c>
      <x:c r="E56" s="30" t="str">
        <x:v>MA</x:v>
      </x:c>
      <x:c r="F56" s="30" t="str"/>
      <x:c r="G56" s="30" t="str">
        <x:v>https://www.mass.gov/doc/opmo-fy2022-commcorps-report-attachment/download?utm_source=chatgpt.com</x:v>
      </x:c>
      <x:c r="H56" s="93" t="b">
        <x:v>1</x:v>
      </x:c>
      <x:c r="I56" s="30" t="str">
        <x:v>Apollo</x:v>
      </x:c>
      <x:c r="J56" s="30" t="str">
        <x:v>ChatGPT.docx</x:v>
      </x:c>
      <x:c r="K56" s="30" t="str">
        <x:v>Verified Express grant</x:v>
      </x:c>
      <x:c r="L56" s="30" t="str">
        <x:v>WTFP Express Program Incumbent Worker Training</x:v>
      </x:c>
      <x:c r="M56" s="30" t="str">
        <x:v>Official Mass.gov OPMO attachment snippet [23]</x:v>
      </x:c>
      <x:c r="N56" s="30" t="str">
        <x:v>FY2022</x:v>
      </x:c>
      <x:c r="O56" s="87"/>
      <x:c r="P56" s="90"/>
      <x:c r="Q56" s="30" t="str"/>
      <x:c r="R56" s="30" t="str"/>
      <x:c r="S56" s="30" t="str"/>
      <x:c r="T56" s="30" t="str"/>
      <x:c r="U56" s="30" t="str"/>
      <x:c r="V56" s="30" t="str"/>
      <x:c r="W56" s="30" t="str"/>
      <x:c r="X56" s="30" t="str"/>
      <x:c r="Y56" s="30" t="str">
        <x:v>Not Started</x:v>
      </x:c>
      <x:c r="Z56" s="30" t="str"/>
    </x:row>
    <x:row r="57" ht="22" customHeight="1">
      <x:c r="A57" s="30" t="str">
        <x:v>AHA Consulting Engineers, Inc.</x:v>
      </x:c>
      <x:c r="B57" s="30" t="str"/>
      <x:c r="C57" s="30" t="str"/>
      <x:c r="D57" s="30" t="str">
        <x:v>Lexington</x:v>
      </x:c>
      <x:c r="E57" s="30" t="str">
        <x:v>MA</x:v>
      </x:c>
      <x:c r="F57" s="30" t="str"/>
      <x:c r="G57" s="30" t="str">
        <x:v>https://www.mass.gov/doc/opmo-fy2022-commcorps-report-attachment/download?utm_source=chatgpt.com</x:v>
      </x:c>
      <x:c r="H57" s="93" t="b">
        <x:v>1</x:v>
      </x:c>
      <x:c r="I57" s="30" t="str">
        <x:v>Apollo</x:v>
      </x:c>
      <x:c r="J57" s="30" t="str">
        <x:v>ChatGPT.docx</x:v>
      </x:c>
      <x:c r="K57" s="30" t="str">
        <x:v>Verified Express grant</x:v>
      </x:c>
      <x:c r="L57" s="30" t="str">
        <x:v>WTFP Express Program Incumbent Worker Training</x:v>
      </x:c>
      <x:c r="M57" s="30" t="str">
        <x:v>Official Mass.gov OPMO attachment snippet [24]</x:v>
      </x:c>
      <x:c r="N57" s="30" t="str">
        <x:v>FY2022</x:v>
      </x:c>
      <x:c r="O57" s="87"/>
      <x:c r="P57" s="90"/>
      <x:c r="Q57" s="30" t="str"/>
      <x:c r="R57" s="30" t="str"/>
      <x:c r="S57" s="30" t="str"/>
      <x:c r="T57" s="30" t="str"/>
      <x:c r="U57" s="30" t="str"/>
      <x:c r="V57" s="30" t="str"/>
      <x:c r="W57" s="30" t="str"/>
      <x:c r="X57" s="30" t="str"/>
      <x:c r="Y57" s="30" t="str">
        <x:v>Not Started</x:v>
      </x:c>
      <x:c r="Z57" s="30" t="str"/>
    </x:row>
    <x:row r="58" ht="22" customHeight="1">
      <x:c r="A58" s="30" t="str">
        <x:v>AI Engineers, Inc.</x:v>
      </x:c>
      <x:c r="B58" s="30" t="str"/>
      <x:c r="C58" s="30" t="str"/>
      <x:c r="D58" s="30" t="str">
        <x:v>Boston</x:v>
      </x:c>
      <x:c r="E58" s="30" t="str">
        <x:v>MA</x:v>
      </x:c>
      <x:c r="F58" s="30" t="str"/>
      <x:c r="G58" s="30" t="str">
        <x:v>https://www.mass.gov/doc/opmo-fy2022-commcorps-report-attachment/download?utm_source=chatgpt.com</x:v>
      </x:c>
      <x:c r="H58" s="93" t="b">
        <x:v>1</x:v>
      </x:c>
      <x:c r="I58" s="30" t="str">
        <x:v>Apollo</x:v>
      </x:c>
      <x:c r="J58" s="30" t="str">
        <x:v>ChatGPT.docx</x:v>
      </x:c>
      <x:c r="K58" s="30" t="str">
        <x:v>Verified Express grant</x:v>
      </x:c>
      <x:c r="L58" s="30" t="str">
        <x:v>WTFP Express Program Incumbent Worker Training</x:v>
      </x:c>
      <x:c r="M58" s="30" t="str">
        <x:v>Official Mass.gov OPMO attachment snippet [25]</x:v>
      </x:c>
      <x:c r="N58" s="30" t="str">
        <x:v>FY2022</x:v>
      </x:c>
      <x:c r="O58" s="87"/>
      <x:c r="P58" s="90"/>
      <x:c r="Q58" s="30" t="str"/>
      <x:c r="R58" s="30" t="str"/>
      <x:c r="S58" s="30" t="str"/>
      <x:c r="T58" s="30" t="str"/>
      <x:c r="U58" s="30" t="str"/>
      <x:c r="V58" s="30" t="str"/>
      <x:c r="W58" s="30" t="str"/>
      <x:c r="X58" s="30" t="str"/>
      <x:c r="Y58" s="30" t="str">
        <x:v>Not Started</x:v>
      </x:c>
      <x:c r="Z58" s="30" t="str"/>
    </x:row>
    <x:row r="59" ht="22" customHeight="1">
      <x:c r="A59" s="30" t="str">
        <x:v>Antenna Associates Inc.</x:v>
      </x:c>
      <x:c r="B59" s="30" t="str"/>
      <x:c r="C59" s="30" t="str"/>
      <x:c r="D59" s="30" t="str">
        <x:v>Brockton</x:v>
      </x:c>
      <x:c r="E59" s="30" t="str">
        <x:v>MA</x:v>
      </x:c>
      <x:c r="F59" s="30" t="str"/>
      <x:c r="G59" s="30" t="str">
        <x:v>https://www.mass.gov/doc/opmo-fy2023-commcorps-report-attachment/download?utm_source=chatgpt.com</x:v>
      </x:c>
      <x:c r="H59" s="93" t="b">
        <x:v>1</x:v>
      </x:c>
      <x:c r="I59" s="30" t="str">
        <x:v>Apollo</x:v>
      </x:c>
      <x:c r="J59" s="30" t="str">
        <x:v>ChatGPT.docx</x:v>
      </x:c>
      <x:c r="K59" s="30" t="str">
        <x:v>Verified Express grant</x:v>
      </x:c>
      <x:c r="L59" s="30" t="str">
        <x:v>WTFP Express Program Incumbent Worker Training</x:v>
      </x:c>
      <x:c r="M59" s="30" t="str">
        <x:v>Official Mass.gov OPMO attachment snippet [26]</x:v>
      </x:c>
      <x:c r="N59" s="30" t="str">
        <x:v>FY2023</x:v>
      </x:c>
      <x:c r="O59" s="87"/>
      <x:c r="P59" s="90"/>
      <x:c r="Q59" s="30" t="str"/>
      <x:c r="R59" s="30" t="str"/>
      <x:c r="S59" s="30" t="str"/>
      <x:c r="T59" s="30" t="str"/>
      <x:c r="U59" s="30" t="str"/>
      <x:c r="V59" s="30" t="str"/>
      <x:c r="W59" s="30" t="str"/>
      <x:c r="X59" s="30" t="str"/>
      <x:c r="Y59" s="30" t="str">
        <x:v>Not Started</x:v>
      </x:c>
      <x:c r="Z59" s="30" t="str"/>
    </x:row>
    <x:row r="60" ht="22" customHeight="1">
      <x:c r="A60" s="30" t="str">
        <x:v>Boston Baking Inc.</x:v>
      </x:c>
      <x:c r="B60" s="30" t="str"/>
      <x:c r="C60" s="30" t="str"/>
      <x:c r="D60" s="30" t="str">
        <x:v>Boston</x:v>
      </x:c>
      <x:c r="E60" s="30" t="str">
        <x:v>MA</x:v>
      </x:c>
      <x:c r="F60" s="30" t="str"/>
      <x:c r="G60" s="30" t="str">
        <x:v>https://www.mass.gov/doc/opmo-fy2023-commcorps-report-attachment/download?utm_source=chatgpt.com</x:v>
      </x:c>
      <x:c r="H60" s="93" t="b">
        <x:v>1</x:v>
      </x:c>
      <x:c r="I60" s="30" t="str">
        <x:v>Apollo</x:v>
      </x:c>
      <x:c r="J60" s="30" t="str">
        <x:v>ChatGPT.docx</x:v>
      </x:c>
      <x:c r="K60" s="30" t="str">
        <x:v>Verified Express grant</x:v>
      </x:c>
      <x:c r="L60" s="30" t="str">
        <x:v>WTFP Express Program Incumbent Worker Training</x:v>
      </x:c>
      <x:c r="M60" s="30" t="str">
        <x:v>Official Mass.gov OPMO attachment snippet [27]</x:v>
      </x:c>
      <x:c r="N60" s="30" t="str">
        <x:v>FY2023</x:v>
      </x:c>
      <x:c r="O60" s="87"/>
      <x:c r="P60" s="90"/>
      <x:c r="Q60" s="30" t="str"/>
      <x:c r="R60" s="30" t="str"/>
      <x:c r="S60" s="30" t="str"/>
      <x:c r="T60" s="30" t="str"/>
      <x:c r="U60" s="30" t="str"/>
      <x:c r="V60" s="30" t="str"/>
      <x:c r="W60" s="30" t="str"/>
      <x:c r="X60" s="30" t="str"/>
      <x:c r="Y60" s="30" t="str">
        <x:v>Not Started</x:v>
      </x:c>
      <x:c r="Z60" s="30" t="str"/>
    </x:row>
    <x:row r="61" ht="22" customHeight="1">
      <x:c r="A61" s="30" t="str">
        <x:v>3Play Media</x:v>
      </x:c>
      <x:c r="B61" s="30" t="str"/>
      <x:c r="C61" s="30" t="str"/>
      <x:c r="D61" s="30" t="str">
        <x:v>Boston</x:v>
      </x:c>
      <x:c r="E61" s="30" t="str">
        <x:v>MA</x:v>
      </x:c>
      <x:c r="F61" s="30" t="str"/>
      <x:c r="G61" s="30" t="str"/>
      <x:c r="H61" s="93" t="b">
        <x:v>1</x:v>
      </x:c>
      <x:c r="I61" s="30" t="str">
        <x:v>Prospeo</x:v>
      </x:c>
      <x:c r="J61" s="30" t="str">
        <x:v>Gemini.docx</x:v>
      </x:c>
      <x:c r="K61" s="30" t="str">
        <x:v>Employer / Grantee</x:v>
      </x:c>
      <x:c r="L61" s="30" t="str">
        <x:v>MassHire Boston</x:v>
      </x:c>
      <x:c r="M61" s="30" t="str">
        <x:v>[cite: 27]</x:v>
      </x:c>
      <x:c r="N61" s="30" t="str"/>
      <x:c r="O61" s="87" t="n">
        <x:v>129773</x:v>
      </x:c>
      <x:c r="P61" s="90" t="n">
        <x:v>71</x:v>
      </x:c>
      <x:c r="Q61" s="30" t="str">
        <x:v>12 additional jobs</x:v>
      </x:c>
      <x:c r="R61" s="30" t="str"/>
      <x:c r="S61" s="30" t="str"/>
      <x:c r="T61" s="30" t="str"/>
      <x:c r="U61" s="30" t="str"/>
      <x:c r="V61" s="30" t="str"/>
      <x:c r="W61" s="30" t="str"/>
      <x:c r="X61" s="30" t="str"/>
      <x:c r="Y61" s="30" t="str">
        <x:v>Not Started</x:v>
      </x:c>
      <x:c r="Z61" s="30" t="str">
        <x:v>Gemini export retained its citation label but not the live URL. Recover a source URL during research.</x:v>
      </x:c>
    </x:row>
    <x:row r="62" ht="22" customHeight="1">
      <x:c r="A62" s="30" t="str">
        <x:v>88 Acres Foods</x:v>
      </x:c>
      <x:c r="B62" s="30" t="str"/>
      <x:c r="C62" s="30" t="str"/>
      <x:c r="D62" s="30" t="str">
        <x:v>Canton</x:v>
      </x:c>
      <x:c r="E62" s="30" t="str">
        <x:v>MA</x:v>
      </x:c>
      <x:c r="F62" s="30" t="str"/>
      <x:c r="G62" s="30" t="str"/>
      <x:c r="H62" s="93" t="b">
        <x:v>1</x:v>
      </x:c>
      <x:c r="I62" s="30" t="str">
        <x:v>Prospeo</x:v>
      </x:c>
      <x:c r="J62" s="30" t="str">
        <x:v>Gemini.docx</x:v>
      </x:c>
      <x:c r="K62" s="30" t="str">
        <x:v>Employer / Grantee</x:v>
      </x:c>
      <x:c r="L62" s="30" t="str">
        <x:v>MassHire South Shore</x:v>
      </x:c>
      <x:c r="M62" s="30" t="str">
        <x:v>[cite: 27]</x:v>
      </x:c>
      <x:c r="N62" s="30" t="str"/>
      <x:c r="O62" s="87" t="n">
        <x:v>84300</x:v>
      </x:c>
      <x:c r="P62" s="90" t="n">
        <x:v>34</x:v>
      </x:c>
      <x:c r="Q62" s="30" t="str">
        <x:v>15 additional jobs</x:v>
      </x:c>
      <x:c r="R62" s="30" t="str"/>
      <x:c r="S62" s="30" t="str"/>
      <x:c r="T62" s="30" t="str"/>
      <x:c r="U62" s="30" t="str"/>
      <x:c r="V62" s="30" t="str"/>
      <x:c r="W62" s="30" t="str"/>
      <x:c r="X62" s="30" t="str"/>
      <x:c r="Y62" s="30" t="str">
        <x:v>Not Started</x:v>
      </x:c>
      <x:c r="Z62" s="30" t="str">
        <x:v>Gemini export retained its citation label but not the live URL. Recover a source URL during research.</x:v>
      </x:c>
    </x:row>
    <x:row r="63" ht="22" customHeight="1">
      <x:c r="A63" s="30" t="str">
        <x:v>ABCorp</x:v>
      </x:c>
      <x:c r="B63" s="30" t="str"/>
      <x:c r="C63" s="30" t="str"/>
      <x:c r="D63" s="30" t="str">
        <x:v>Boston</x:v>
      </x:c>
      <x:c r="E63" s="30" t="str">
        <x:v>MA</x:v>
      </x:c>
      <x:c r="F63" s="30" t="str"/>
      <x:c r="G63" s="30" t="str"/>
      <x:c r="H63" s="93" t="b">
        <x:v>1</x:v>
      </x:c>
      <x:c r="I63" s="30" t="str">
        <x:v>Prospeo</x:v>
      </x:c>
      <x:c r="J63" s="30" t="str">
        <x:v>Gemini.docx</x:v>
      </x:c>
      <x:c r="K63" s="30" t="str">
        <x:v>Employer / Grantee</x:v>
      </x:c>
      <x:c r="L63" s="30" t="str">
        <x:v>MassHire Boston</x:v>
      </x:c>
      <x:c r="M63" s="30" t="str">
        <x:v>[cite: 28, 29, 33]</x:v>
      </x:c>
      <x:c r="N63" s="30" t="str"/>
      <x:c r="O63" s="87" t="n">
        <x:v>150600</x:v>
      </x:c>
      <x:c r="P63" s="90" t="n">
        <x:v>61</x:v>
      </x:c>
      <x:c r="Q63" s="30" t="str">
        <x:v>8 additional jobs</x:v>
      </x:c>
      <x:c r="R63" s="30" t="str"/>
      <x:c r="S63" s="30" t="str"/>
      <x:c r="T63" s="30" t="str"/>
      <x:c r="U63" s="30" t="str"/>
      <x:c r="V63" s="30" t="str"/>
      <x:c r="W63" s="30" t="str"/>
      <x:c r="X63" s="30" t="str"/>
      <x:c r="Y63" s="30" t="str">
        <x:v>Not Started</x:v>
      </x:c>
      <x:c r="Z63" s="30" t="str">
        <x:v>Gemini export retained its citation label but not the live URL. Recover a source URL during research.</x:v>
      </x:c>
    </x:row>
    <x:row r="64" ht="22" customHeight="1">
      <x:c r="A64" s="30" t="str">
        <x:v>Aceituna Grill</x:v>
      </x:c>
      <x:c r="B64" s="30" t="str"/>
      <x:c r="C64" s="30" t="str"/>
      <x:c r="D64" s="30" t="str">
        <x:v>Boston</x:v>
      </x:c>
      <x:c r="E64" s="30" t="str">
        <x:v>MA</x:v>
      </x:c>
      <x:c r="F64" s="30" t="str"/>
      <x:c r="G64" s="30" t="str"/>
      <x:c r="H64" s="93" t="b">
        <x:v>1</x:v>
      </x:c>
      <x:c r="I64" s="30" t="str">
        <x:v>Prospeo</x:v>
      </x:c>
      <x:c r="J64" s="30" t="str">
        <x:v>Gemini.docx</x:v>
      </x:c>
      <x:c r="K64" s="30" t="str">
        <x:v>Employer / Grantee</x:v>
      </x:c>
      <x:c r="L64" s="30" t="str">
        <x:v>MassHire Boston</x:v>
      </x:c>
      <x:c r="M64" s="30" t="str">
        <x:v>[cite: 56]</x:v>
      </x:c>
      <x:c r="N64" s="30" t="str"/>
      <x:c r="O64" s="87" t="n">
        <x:v>61600</x:v>
      </x:c>
      <x:c r="P64" s="90" t="n">
        <x:v>228</x:v>
      </x:c>
      <x:c r="Q64" s="30" t="str">
        <x:v>108 additional jobs</x:v>
      </x:c>
      <x:c r="R64" s="30" t="str"/>
      <x:c r="S64" s="30" t="str"/>
      <x:c r="T64" s="30" t="str"/>
      <x:c r="U64" s="30" t="str"/>
      <x:c r="V64" s="30" t="str"/>
      <x:c r="W64" s="30" t="str"/>
      <x:c r="X64" s="30" t="str"/>
      <x:c r="Y64" s="30" t="str">
        <x:v>Not Started</x:v>
      </x:c>
      <x:c r="Z64" s="30" t="str">
        <x:v>Gemini export retained its citation label but not the live URL. Recover a source URL during research.</x:v>
      </x:c>
    </x:row>
    <x:row r="65" ht="22" customHeight="1">
      <x:c r="A65" s="30" t="str">
        <x:v>Adaptas Solution</x:v>
      </x:c>
      <x:c r="B65" s="30" t="str"/>
      <x:c r="C65" s="30" t="str"/>
      <x:c r="D65" s="30" t="str">
        <x:v>Palmer</x:v>
      </x:c>
      <x:c r="E65" s="30" t="str">
        <x:v>MA</x:v>
      </x:c>
      <x:c r="F65" s="30" t="str"/>
      <x:c r="G65" s="30" t="str"/>
      <x:c r="H65" s="93" t="b">
        <x:v>1</x:v>
      </x:c>
      <x:c r="I65" s="30" t="str">
        <x:v>Prospeo</x:v>
      </x:c>
      <x:c r="J65" s="30" t="str">
        <x:v>Gemini.docx</x:v>
      </x:c>
      <x:c r="K65" s="30" t="str">
        <x:v>Employer / Grantee</x:v>
      </x:c>
      <x:c r="L65" s="30" t="str">
        <x:v>MassHire Hampden</x:v>
      </x:c>
      <x:c r="M65" s="30" t="str">
        <x:v>[cite: 27]</x:v>
      </x:c>
      <x:c r="N65" s="30" t="str"/>
      <x:c r="O65" s="87" t="n">
        <x:v>178200</x:v>
      </x:c>
      <x:c r="P65" s="90" t="n">
        <x:v>68</x:v>
      </x:c>
      <x:c r="Q65" s="30" t="str">
        <x:v>50 additional jobs</x:v>
      </x:c>
      <x:c r="R65" s="30" t="str"/>
      <x:c r="S65" s="30" t="str"/>
      <x:c r="T65" s="30" t="str"/>
      <x:c r="U65" s="30" t="str"/>
      <x:c r="V65" s="30" t="str"/>
      <x:c r="W65" s="30" t="str"/>
      <x:c r="X65" s="30" t="str"/>
      <x:c r="Y65" s="30" t="str">
        <x:v>Not Started</x:v>
      </x:c>
      <x:c r="Z65" s="30" t="str">
        <x:v>Gemini export retained its citation label but not the live URL. Recover a source URL during research.</x:v>
      </x:c>
    </x:row>
    <x:row r="66" ht="22" customHeight="1">
      <x:c r="A66" s="30" t="str">
        <x:v>Admiral Metals</x:v>
      </x:c>
      <x:c r="B66" s="30" t="str"/>
      <x:c r="C66" s="30" t="str"/>
      <x:c r="D66" s="30" t="str">
        <x:v>Woburn</x:v>
      </x:c>
      <x:c r="E66" s="30" t="str">
        <x:v>MA</x:v>
      </x:c>
      <x:c r="F66" s="30" t="str"/>
      <x:c r="G66" s="30" t="str"/>
      <x:c r="H66" s="93" t="b">
        <x:v>1</x:v>
      </x:c>
      <x:c r="I66" s="30" t="str">
        <x:v>Prospeo</x:v>
      </x:c>
      <x:c r="J66" s="30" t="str">
        <x:v>Gemini.docx</x:v>
      </x:c>
      <x:c r="K66" s="30" t="str">
        <x:v>Employer / Grantee</x:v>
      </x:c>
      <x:c r="L66" s="30" t="str">
        <x:v>MassHire Metro North</x:v>
      </x:c>
      <x:c r="M66" s="30" t="str">
        <x:v>[cite: 28, 29]</x:v>
      </x:c>
      <x:c r="N66" s="30" t="str"/>
      <x:c r="O66" s="87" t="n">
        <x:v>58800</x:v>
      </x:c>
      <x:c r="P66" s="90" t="n">
        <x:v>8</x:v>
      </x:c>
      <x:c r="Q66" s="30" t="str">
        <x:v>10 additional jobs</x:v>
      </x:c>
      <x:c r="R66" s="30" t="str"/>
      <x:c r="S66" s="30" t="str"/>
      <x:c r="T66" s="30" t="str"/>
      <x:c r="U66" s="30" t="str"/>
      <x:c r="V66" s="30" t="str"/>
      <x:c r="W66" s="30" t="str"/>
      <x:c r="X66" s="30" t="str"/>
      <x:c r="Y66" s="30" t="str">
        <x:v>Not Started</x:v>
      </x:c>
      <x:c r="Z66" s="30" t="str">
        <x:v>Gemini export retained its citation label but not the live URL. Recover a source URL during research.</x:v>
      </x:c>
    </x:row>
    <x:row r="67" ht="22" customHeight="1">
      <x:c r="A67" s="30" t="str">
        <x:v>Allegro MicroSystems</x:v>
      </x:c>
      <x:c r="B67" s="30" t="str"/>
      <x:c r="C67" s="30" t="str"/>
      <x:c r="D67" s="30" t="str">
        <x:v>Natick</x:v>
      </x:c>
      <x:c r="E67" s="30" t="str">
        <x:v>MA</x:v>
      </x:c>
      <x:c r="F67" s="30" t="str"/>
      <x:c r="G67" s="30" t="str"/>
      <x:c r="H67" s="93" t="b">
        <x:v>1</x:v>
      </x:c>
      <x:c r="I67" s="30" t="str">
        <x:v>Prospeo</x:v>
      </x:c>
      <x:c r="J67" s="30" t="str">
        <x:v>Gemini.docx</x:v>
      </x:c>
      <x:c r="K67" s="30" t="str">
        <x:v>Employer / Grantee</x:v>
      </x:c>
      <x:c r="L67" s="30" t="str">
        <x:v>MassHire Metro South/West</x:v>
      </x:c>
      <x:c r="M67" s="30" t="str">
        <x:v>[cite: 29]</x:v>
      </x:c>
      <x:c r="N67" s="30" t="str"/>
      <x:c r="O67" s="87" t="n">
        <x:v>37800</x:v>
      </x:c>
      <x:c r="P67" s="90" t="n">
        <x:v>40</x:v>
      </x:c>
      <x:c r="Q67" s="30" t="str">
        <x:v>30 additional jobs</x:v>
      </x:c>
      <x:c r="R67" s="30" t="str"/>
      <x:c r="S67" s="30" t="str"/>
      <x:c r="T67" s="30" t="str"/>
      <x:c r="U67" s="30" t="str"/>
      <x:c r="V67" s="30" t="str"/>
      <x:c r="W67" s="30" t="str"/>
      <x:c r="X67" s="30" t="str"/>
      <x:c r="Y67" s="30" t="str">
        <x:v>Not Started</x:v>
      </x:c>
      <x:c r="Z67" s="30" t="str">
        <x:v>Gemini export retained its citation label but not the live URL. Recover a source URL during research.</x:v>
      </x:c>
    </x:row>
    <x:row r="68" ht="22" customHeight="1">
      <x:c r="A68" s="30" t="str">
        <x:v>Alpha Chemical Services</x:v>
      </x:c>
      <x:c r="B68" s="30" t="str"/>
      <x:c r="C68" s="30" t="str"/>
      <x:c r="D68" s="30" t="str">
        <x:v>Stoughton</x:v>
      </x:c>
      <x:c r="E68" s="30" t="str">
        <x:v>MA</x:v>
      </x:c>
      <x:c r="F68" s="30" t="str"/>
      <x:c r="G68" s="30" t="str"/>
      <x:c r="H68" s="93" t="b">
        <x:v>1</x:v>
      </x:c>
      <x:c r="I68" s="30" t="str">
        <x:v>Prospeo</x:v>
      </x:c>
      <x:c r="J68" s="30" t="str">
        <x:v>Gemini.docx</x:v>
      </x:c>
      <x:c r="K68" s="30" t="str">
        <x:v>Employer / Grantee</x:v>
      </x:c>
      <x:c r="L68" s="30" t="str">
        <x:v>MassHire Brockton</x:v>
      </x:c>
      <x:c r="M68" s="30" t="str">
        <x:v>[cite: 2, 5]</x:v>
      </x:c>
      <x:c r="N68" s="30" t="str"/>
      <x:c r="O68" s="87" t="n">
        <x:v>99000</x:v>
      </x:c>
      <x:c r="P68" s="90" t="n">
        <x:v>23</x:v>
      </x:c>
      <x:c r="Q68" s="30" t="str">
        <x:v>3 additional jobs</x:v>
      </x:c>
      <x:c r="R68" s="30" t="str"/>
      <x:c r="S68" s="30" t="str"/>
      <x:c r="T68" s="30" t="str"/>
      <x:c r="U68" s="30" t="str"/>
      <x:c r="V68" s="30" t="str"/>
      <x:c r="W68" s="30" t="str"/>
      <x:c r="X68" s="30" t="str"/>
      <x:c r="Y68" s="30" t="str">
        <x:v>Not Started</x:v>
      </x:c>
      <x:c r="Z68" s="30" t="str">
        <x:v>Gemini export retained its citation label but not the live URL. Recover a source URL during research.</x:v>
      </x:c>
    </x:row>
    <x:row r="69" ht="22" customHeight="1">
      <x:c r="A69" s="30" t="str">
        <x:v>Analytix Business Solutions</x:v>
      </x:c>
      <x:c r="B69" s="30" t="str"/>
      <x:c r="C69" s="30" t="str"/>
      <x:c r="D69" s="30" t="str">
        <x:v>Woburn</x:v>
      </x:c>
      <x:c r="E69" s="30" t="str">
        <x:v>MA</x:v>
      </x:c>
      <x:c r="F69" s="30" t="str"/>
      <x:c r="G69" s="30" t="str"/>
      <x:c r="H69" s="93" t="b">
        <x:v>1</x:v>
      </x:c>
      <x:c r="I69" s="30" t="str">
        <x:v>Prospeo</x:v>
      </x:c>
      <x:c r="J69" s="30" t="str">
        <x:v>Gemini.docx</x:v>
      </x:c>
      <x:c r="K69" s="30" t="str">
        <x:v>Employer / Grantee</x:v>
      </x:c>
      <x:c r="L69" s="30" t="str">
        <x:v>MassHire Metro North</x:v>
      </x:c>
      <x:c r="M69" s="30" t="str">
        <x:v>[cite: 29]</x:v>
      </x:c>
      <x:c r="N69" s="30" t="str"/>
      <x:c r="O69" s="87" t="n">
        <x:v>88200</x:v>
      </x:c>
      <x:c r="P69" s="90" t="n">
        <x:v>12</x:v>
      </x:c>
      <x:c r="Q69" s="30" t="str">
        <x:v>3 additional jobs</x:v>
      </x:c>
      <x:c r="R69" s="30" t="str"/>
      <x:c r="S69" s="30" t="str"/>
      <x:c r="T69" s="30" t="str"/>
      <x:c r="U69" s="30" t="str"/>
      <x:c r="V69" s="30" t="str"/>
      <x:c r="W69" s="30" t="str"/>
      <x:c r="X69" s="30" t="str"/>
      <x:c r="Y69" s="30" t="str">
        <x:v>Not Started</x:v>
      </x:c>
      <x:c r="Z69" s="30" t="str">
        <x:v>Gemini export retained its citation label but not the live URL. Recover a source URL during research.</x:v>
      </x:c>
    </x:row>
    <x:row r="70" ht="22" customHeight="1">
      <x:c r="A70" s="30" t="str">
        <x:v>ARC Technologies</x:v>
      </x:c>
      <x:c r="B70" s="30" t="str"/>
      <x:c r="C70" s="30" t="str"/>
      <x:c r="D70" s="30" t="str">
        <x:v>Amesbury</x:v>
      </x:c>
      <x:c r="E70" s="30" t="str">
        <x:v>MA</x:v>
      </x:c>
      <x:c r="F70" s="30" t="str"/>
      <x:c r="G70" s="30" t="str"/>
      <x:c r="H70" s="93" t="b">
        <x:v>1</x:v>
      </x:c>
      <x:c r="I70" s="30" t="str">
        <x:v>Prospeo</x:v>
      </x:c>
      <x:c r="J70" s="30" t="str">
        <x:v>Gemini.docx</x:v>
      </x:c>
      <x:c r="K70" s="30" t="str">
        <x:v>Employer / Grantee</x:v>
      </x:c>
      <x:c r="L70" s="30" t="str">
        <x:v>MassHire Merrimack Valley</x:v>
      </x:c>
      <x:c r="M70" s="30" t="str">
        <x:v>[cite: 5]</x:v>
      </x:c>
      <x:c r="N70" s="30" t="str"/>
      <x:c r="O70" s="87" t="n">
        <x:v>120600</x:v>
      </x:c>
      <x:c r="P70" s="90" t="n">
        <x:v>48</x:v>
      </x:c>
      <x:c r="Q70" s="30" t="str">
        <x:v>25 additional jobs</x:v>
      </x:c>
      <x:c r="R70" s="30" t="str"/>
      <x:c r="S70" s="30" t="str"/>
      <x:c r="T70" s="30" t="str"/>
      <x:c r="U70" s="30" t="str"/>
      <x:c r="V70" s="30" t="str"/>
      <x:c r="W70" s="30" t="str"/>
      <x:c r="X70" s="30" t="str"/>
      <x:c r="Y70" s="30" t="str">
        <x:v>Not Started</x:v>
      </x:c>
      <x:c r="Z70" s="30" t="str">
        <x:v>Gemini export retained its citation label but not the live URL. Recover a source URL during research.</x:v>
      </x:c>
    </x:row>
    <x:row r="71" ht="22" customHeight="1">
      <x:c r="A71" s="30" t="str">
        <x:v>ARCH Medical &amp; Aerospace- Woburn</x:v>
      </x:c>
      <x:c r="B71" s="30" t="str"/>
      <x:c r="C71" s="30" t="str"/>
      <x:c r="D71" s="30" t="str">
        <x:v>Woburn</x:v>
      </x:c>
      <x:c r="E71" s="30" t="str">
        <x:v>MA</x:v>
      </x:c>
      <x:c r="F71" s="30" t="str"/>
      <x:c r="G71" s="30" t="str"/>
      <x:c r="H71" s="93" t="b">
        <x:v>1</x:v>
      </x:c>
      <x:c r="I71" s="30" t="str">
        <x:v>Prospeo</x:v>
      </x:c>
      <x:c r="J71" s="30" t="str">
        <x:v>Gemini.docx</x:v>
      </x:c>
      <x:c r="K71" s="30" t="str">
        <x:v>Employer / Grantee</x:v>
      </x:c>
      <x:c r="L71" s="30" t="str">
        <x:v>MassHire Metro North</x:v>
      </x:c>
      <x:c r="M71" s="30" t="str">
        <x:v>[cite: 5]</x:v>
      </x:c>
      <x:c r="N71" s="30" t="str"/>
      <x:c r="O71" s="87" t="n">
        <x:v>48000</x:v>
      </x:c>
      <x:c r="P71" s="90" t="n">
        <x:v>32</x:v>
      </x:c>
      <x:c r="Q71" s="30" t="str">
        <x:v>2 additional jobs</x:v>
      </x:c>
      <x:c r="R71" s="30" t="str"/>
      <x:c r="S71" s="30" t="str"/>
      <x:c r="T71" s="30" t="str"/>
      <x:c r="U71" s="30" t="str"/>
      <x:c r="V71" s="30" t="str"/>
      <x:c r="W71" s="30" t="str"/>
      <x:c r="X71" s="30" t="str"/>
      <x:c r="Y71" s="30" t="str">
        <x:v>Not Started</x:v>
      </x:c>
      <x:c r="Z71" s="30" t="str">
        <x:v>Gemini export retained its citation label but not the live URL. Recover a source URL during research.</x:v>
      </x:c>
    </x:row>
    <x:row r="72" ht="22" customHeight="1">
      <x:c r="A72" s="30" t="str">
        <x:v>Asahi/America</x:v>
      </x:c>
      <x:c r="B72" s="30" t="str"/>
      <x:c r="C72" s="30" t="str"/>
      <x:c r="D72" s="30" t="str">
        <x:v>Lawrence</x:v>
      </x:c>
      <x:c r="E72" s="30" t="str">
        <x:v>MA</x:v>
      </x:c>
      <x:c r="F72" s="30" t="str"/>
      <x:c r="G72" s="30" t="str"/>
      <x:c r="H72" s="93" t="b">
        <x:v>1</x:v>
      </x:c>
      <x:c r="I72" s="30" t="str">
        <x:v>Prospeo</x:v>
      </x:c>
      <x:c r="J72" s="30" t="str">
        <x:v>Gemini.docx</x:v>
      </x:c>
      <x:c r="K72" s="30" t="str">
        <x:v>Employer / Grantee</x:v>
      </x:c>
      <x:c r="L72" s="30" t="str">
        <x:v>MassHire Merrimack Valley</x:v>
      </x:c>
      <x:c r="M72" s="30" t="str">
        <x:v>[cite: 28, 29, 33]</x:v>
      </x:c>
      <x:c r="N72" s="30" t="str"/>
      <x:c r="O72" s="87" t="n">
        <x:v>196000</x:v>
      </x:c>
      <x:c r="P72" s="90" t="n">
        <x:v>118</x:v>
      </x:c>
      <x:c r="Q72" s="30" t="str">
        <x:v>25 additional jobs</x:v>
      </x:c>
      <x:c r="R72" s="30" t="str"/>
      <x:c r="S72" s="30" t="str"/>
      <x:c r="T72" s="30" t="str"/>
      <x:c r="U72" s="30" t="str"/>
      <x:c r="V72" s="30" t="str"/>
      <x:c r="W72" s="30" t="str"/>
      <x:c r="X72" s="30" t="str"/>
      <x:c r="Y72" s="30" t="str">
        <x:v>Not Started</x:v>
      </x:c>
      <x:c r="Z72" s="30" t="str">
        <x:v>Gemini export retained its citation label but not the live URL. Recover a source URL during research.</x:v>
      </x:c>
    </x:row>
    <x:row r="73" ht="22" customHeight="1">
      <x:c r="A73" s="30" t="str">
        <x:v>ASMPT</x:v>
      </x:c>
      <x:c r="B73" s="30" t="str"/>
      <x:c r="C73" s="30" t="str"/>
      <x:c r="D73" s="30" t="str">
        <x:v>Billerica</x:v>
      </x:c>
      <x:c r="E73" s="30" t="str">
        <x:v>MA</x:v>
      </x:c>
      <x:c r="F73" s="30" t="str"/>
      <x:c r="G73" s="30" t="str"/>
      <x:c r="H73" s="93" t="b">
        <x:v>1</x:v>
      </x:c>
      <x:c r="I73" s="30" t="str">
        <x:v>Prospeo</x:v>
      </x:c>
      <x:c r="J73" s="30" t="str">
        <x:v>Gemini.docx</x:v>
      </x:c>
      <x:c r="K73" s="30" t="str">
        <x:v>Employer / Grantee</x:v>
      </x:c>
      <x:c r="L73" s="30" t="str">
        <x:v>MassHire Greater Lowell</x:v>
      </x:c>
      <x:c r="M73" s="30" t="str">
        <x:v>[cite: 27]</x:v>
      </x:c>
      <x:c r="N73" s="30" t="str"/>
      <x:c r="O73" s="87" t="n">
        <x:v>21600</x:v>
      </x:c>
      <x:c r="P73" s="90" t="n">
        <x:v>11</x:v>
      </x:c>
      <x:c r="Q73" s="30" t="str">
        <x:v>30 additional jobs</x:v>
      </x:c>
      <x:c r="R73" s="30" t="str"/>
      <x:c r="S73" s="30" t="str"/>
      <x:c r="T73" s="30" t="str"/>
      <x:c r="U73" s="30" t="str"/>
      <x:c r="V73" s="30" t="str"/>
      <x:c r="W73" s="30" t="str"/>
      <x:c r="X73" s="30" t="str"/>
      <x:c r="Y73" s="30" t="str">
        <x:v>Not Started</x:v>
      </x:c>
      <x:c r="Z73" s="30" t="str">
        <x:v>Gemini export retained its citation label but not the live URL. Recover a source URL during research.</x:v>
      </x:c>
    </x:row>
    <x:row r="74" ht="22" customHeight="1">
      <x:c r="A74" s="30" t="str">
        <x:v>Associates of Cape Cod Inc.</x:v>
      </x:c>
      <x:c r="B74" s="30" t="str"/>
      <x:c r="C74" s="30" t="str"/>
      <x:c r="D74" s="30" t="str">
        <x:v>East Falmouth</x:v>
      </x:c>
      <x:c r="E74" s="30" t="str">
        <x:v>MA</x:v>
      </x:c>
      <x:c r="F74" s="30" t="str"/>
      <x:c r="G74" s="30" t="str"/>
      <x:c r="H74" s="93" t="b">
        <x:v>1</x:v>
      </x:c>
      <x:c r="I74" s="30" t="str">
        <x:v>Prospeo</x:v>
      </x:c>
      <x:c r="J74" s="30" t="str">
        <x:v>Gemini.docx</x:v>
      </x:c>
      <x:c r="K74" s="30" t="str">
        <x:v>Employer / Grantee</x:v>
      </x:c>
      <x:c r="L74" s="30" t="str">
        <x:v>MassHire Cape &amp; Islands</x:v>
      </x:c>
      <x:c r="M74" s="30" t="str">
        <x:v>[cite: 56]</x:v>
      </x:c>
      <x:c r="N74" s="30" t="str"/>
      <x:c r="O74" s="87" t="n">
        <x:v>135800</x:v>
      </x:c>
      <x:c r="P74" s="90" t="n">
        <x:v>218</x:v>
      </x:c>
      <x:c r="Q74" s="30" t="str">
        <x:v>37 additional jobs</x:v>
      </x:c>
      <x:c r="R74" s="30" t="str"/>
      <x:c r="S74" s="30" t="str"/>
      <x:c r="T74" s="30" t="str"/>
      <x:c r="U74" s="30" t="str"/>
      <x:c r="V74" s="30" t="str"/>
      <x:c r="W74" s="30" t="str"/>
      <x:c r="X74" s="30" t="str"/>
      <x:c r="Y74" s="30" t="str">
        <x:v>Not Started</x:v>
      </x:c>
      <x:c r="Z74" s="30" t="str">
        <x:v>Gemini export retained its citation label but not the live URL. Recover a source URL during research.</x:v>
      </x:c>
    </x:row>
    <x:row r="75" ht="22" customHeight="1">
      <x:c r="A75" s="30" t="str">
        <x:v>Atrenne Computing Solutions</x:v>
      </x:c>
      <x:c r="B75" s="30" t="str"/>
      <x:c r="C75" s="30" t="str"/>
      <x:c r="D75" s="30" t="str">
        <x:v>Brockton</x:v>
      </x:c>
      <x:c r="E75" s="30" t="str">
        <x:v>MA</x:v>
      </x:c>
      <x:c r="F75" s="30" t="str"/>
      <x:c r="G75" s="30" t="str"/>
      <x:c r="H75" s="93" t="b">
        <x:v>1</x:v>
      </x:c>
      <x:c r="I75" s="30" t="str">
        <x:v>Prospeo</x:v>
      </x:c>
      <x:c r="J75" s="30" t="str">
        <x:v>Gemini.docx</x:v>
      </x:c>
      <x:c r="K75" s="30" t="str">
        <x:v>Employer / Grantee</x:v>
      </x:c>
      <x:c r="L75" s="30" t="str">
        <x:v>MassHire Brockton</x:v>
      </x:c>
      <x:c r="M75" s="30" t="str">
        <x:v>[cite: 56]</x:v>
      </x:c>
      <x:c r="N75" s="30" t="str"/>
      <x:c r="O75" s="87" t="n">
        <x:v>86800</x:v>
      </x:c>
      <x:c r="P75" s="90" t="n">
        <x:v>90</x:v>
      </x:c>
      <x:c r="Q75" s="30" t="str">
        <x:v>6 additional jobs</x:v>
      </x:c>
      <x:c r="R75" s="30" t="str"/>
      <x:c r="S75" s="30" t="str"/>
      <x:c r="T75" s="30" t="str"/>
      <x:c r="U75" s="30" t="str"/>
      <x:c r="V75" s="30" t="str"/>
      <x:c r="W75" s="30" t="str"/>
      <x:c r="X75" s="30" t="str"/>
      <x:c r="Y75" s="30" t="str">
        <x:v>Not Started</x:v>
      </x:c>
      <x:c r="Z75" s="30" t="str">
        <x:v>Gemini export retained its citation label but not the live URL. Recover a source URL during research.</x:v>
      </x:c>
    </x:row>
    <x:row r="76" ht="22" customHeight="1">
      <x:c r="A76" s="30" t="str">
        <x:v>Avid Engineers</x:v>
      </x:c>
      <x:c r="B76" s="30" t="str"/>
      <x:c r="C76" s="30" t="str"/>
      <x:c r="D76" s="30" t="str">
        <x:v>Boston</x:v>
      </x:c>
      <x:c r="E76" s="30" t="str">
        <x:v>MA</x:v>
      </x:c>
      <x:c r="F76" s="30" t="str"/>
      <x:c r="G76" s="30" t="str"/>
      <x:c r="H76" s="93" t="b">
        <x:v>1</x:v>
      </x:c>
      <x:c r="I76" s="30" t="str">
        <x:v>Prospeo</x:v>
      </x:c>
      <x:c r="J76" s="30" t="str">
        <x:v>Gemini.docx</x:v>
      </x:c>
      <x:c r="K76" s="30" t="str">
        <x:v>Employer / Grantee</x:v>
      </x:c>
      <x:c r="L76" s="30" t="str">
        <x:v>MassHire Boston</x:v>
      </x:c>
      <x:c r="M76" s="30" t="str">
        <x:v>[cite: 27]</x:v>
      </x:c>
      <x:c r="N76" s="30" t="str"/>
      <x:c r="O76" s="87" t="n">
        <x:v>45430</x:v>
      </x:c>
      <x:c r="P76" s="90" t="n">
        <x:v>32</x:v>
      </x:c>
      <x:c r="Q76" s="30" t="str">
        <x:v>10 additional jobs</x:v>
      </x:c>
      <x:c r="R76" s="30" t="str"/>
      <x:c r="S76" s="30" t="str"/>
      <x:c r="T76" s="30" t="str"/>
      <x:c r="U76" s="30" t="str"/>
      <x:c r="V76" s="30" t="str"/>
      <x:c r="W76" s="30" t="str"/>
      <x:c r="X76" s="30" t="str"/>
      <x:c r="Y76" s="30" t="str">
        <x:v>Not Started</x:v>
      </x:c>
      <x:c r="Z76" s="30" t="str">
        <x:v>Gemini export retained its citation label but not the live URL. Recover a source URL during research.</x:v>
      </x:c>
    </x:row>
    <x:row r="77" ht="22" customHeight="1">
      <x:c r="A77" s="30" t="str">
        <x:v>B &amp; E Tool Company Inc</x:v>
      </x:c>
      <x:c r="B77" s="30" t="str"/>
      <x:c r="C77" s="30" t="str"/>
      <x:c r="D77" s="30" t="str">
        <x:v>Westfield</x:v>
      </x:c>
      <x:c r="E77" s="30" t="str">
        <x:v>MA</x:v>
      </x:c>
      <x:c r="F77" s="30" t="str"/>
      <x:c r="G77" s="30" t="str"/>
      <x:c r="H77" s="93" t="b">
        <x:v>1</x:v>
      </x:c>
      <x:c r="I77" s="30" t="str">
        <x:v>Prospeo</x:v>
      </x:c>
      <x:c r="J77" s="30" t="str">
        <x:v>Gemini.docx</x:v>
      </x:c>
      <x:c r="K77" s="30" t="str">
        <x:v>Employer / Grantee</x:v>
      </x:c>
      <x:c r="L77" s="30" t="str">
        <x:v>MassHire Hampden</x:v>
      </x:c>
      <x:c r="M77" s="30" t="str">
        <x:v>[cite: 5]</x:v>
      </x:c>
      <x:c r="N77" s="30" t="str"/>
      <x:c r="O77" s="87" t="n">
        <x:v>132660</x:v>
      </x:c>
      <x:c r="P77" s="90" t="n">
        <x:v>188</x:v>
      </x:c>
      <x:c r="Q77" s="30" t="str">
        <x:v>15 additional jobs</x:v>
      </x:c>
      <x:c r="R77" s="30" t="str"/>
      <x:c r="S77" s="30" t="str"/>
      <x:c r="T77" s="30" t="str"/>
      <x:c r="U77" s="30" t="str"/>
      <x:c r="V77" s="30" t="str"/>
      <x:c r="W77" s="30" t="str"/>
      <x:c r="X77" s="30" t="str"/>
      <x:c r="Y77" s="30" t="str">
        <x:v>Not Started</x:v>
      </x:c>
      <x:c r="Z77" s="30" t="str">
        <x:v>Gemini export retained its citation label but not the live URL. Recover a source URL during research.</x:v>
      </x:c>
    </x:row>
    <x:row r="78" ht="22" customHeight="1">
      <x:c r="A78" s="30" t="str">
        <x:v>Backer Hotwatt</x:v>
      </x:c>
      <x:c r="B78" s="30" t="str"/>
      <x:c r="C78" s="30" t="str"/>
      <x:c r="D78" s="30" t="str">
        <x:v>Danvers</x:v>
      </x:c>
      <x:c r="E78" s="30" t="str">
        <x:v>MA</x:v>
      </x:c>
      <x:c r="F78" s="30" t="str"/>
      <x:c r="G78" s="30" t="str"/>
      <x:c r="H78" s="93" t="b">
        <x:v>1</x:v>
      </x:c>
      <x:c r="I78" s="30" t="str">
        <x:v>Prospeo</x:v>
      </x:c>
      <x:c r="J78" s="30" t="str">
        <x:v>Gemini.docx</x:v>
      </x:c>
      <x:c r="K78" s="30" t="str">
        <x:v>Employer / Grantee</x:v>
      </x:c>
      <x:c r="L78" s="30" t="str">
        <x:v>MassHire North Shore</x:v>
      </x:c>
      <x:c r="M78" s="30" t="str">
        <x:v>[cite: 27]</x:v>
      </x:c>
      <x:c r="N78" s="30" t="str"/>
      <x:c r="O78" s="87" t="n">
        <x:v>63600</x:v>
      </x:c>
      <x:c r="P78" s="90" t="n">
        <x:v>37</x:v>
      </x:c>
      <x:c r="Q78" s="30" t="str">
        <x:v>8 additional jobs</x:v>
      </x:c>
      <x:c r="R78" s="30" t="str"/>
      <x:c r="S78" s="30" t="str"/>
      <x:c r="T78" s="30" t="str"/>
      <x:c r="U78" s="30" t="str"/>
      <x:c r="V78" s="30" t="str"/>
      <x:c r="W78" s="30" t="str"/>
      <x:c r="X78" s="30" t="str"/>
      <x:c r="Y78" s="30" t="str">
        <x:v>Not Started</x:v>
      </x:c>
      <x:c r="Z78" s="30" t="str">
        <x:v>Gemini export retained its citation label but not the live URL. Recover a source URL during research.</x:v>
      </x:c>
    </x:row>
    <x:row r="79" ht="22" customHeight="1">
      <x:c r="A79" s="30" t="str">
        <x:v>Bake-N-Joy Foods</x:v>
      </x:c>
      <x:c r="B79" s="30" t="str"/>
      <x:c r="C79" s="30" t="str"/>
      <x:c r="D79" s="30" t="str">
        <x:v>North Andover</x:v>
      </x:c>
      <x:c r="E79" s="30" t="str">
        <x:v>MA</x:v>
      </x:c>
      <x:c r="F79" s="30" t="str"/>
      <x:c r="G79" s="30" t="str"/>
      <x:c r="H79" s="93" t="b">
        <x:v>1</x:v>
      </x:c>
      <x:c r="I79" s="30" t="str">
        <x:v>Prospeo</x:v>
      </x:c>
      <x:c r="J79" s="30" t="str">
        <x:v>Gemini.docx</x:v>
      </x:c>
      <x:c r="K79" s="30" t="str">
        <x:v>Employer / Grantee</x:v>
      </x:c>
      <x:c r="L79" s="30" t="str">
        <x:v>MassHire Merrimack Valley</x:v>
      </x:c>
      <x:c r="M79" s="30" t="str">
        <x:v>[cite: 27]</x:v>
      </x:c>
      <x:c r="N79" s="30" t="str"/>
      <x:c r="O79" s="87" t="n">
        <x:v>133980</x:v>
      </x:c>
      <x:c r="P79" s="90" t="n">
        <x:v>63</x:v>
      </x:c>
      <x:c r="Q79" s="30" t="str">
        <x:v>10 additional jobs</x:v>
      </x:c>
      <x:c r="R79" s="30" t="str"/>
      <x:c r="S79" s="30" t="str"/>
      <x:c r="T79" s="30" t="str"/>
      <x:c r="U79" s="30" t="str"/>
      <x:c r="V79" s="30" t="str"/>
      <x:c r="W79" s="30" t="str"/>
      <x:c r="X79" s="30" t="str"/>
      <x:c r="Y79" s="30" t="str">
        <x:v>Not Started</x:v>
      </x:c>
      <x:c r="Z79" s="30" t="str">
        <x:v>Gemini export retained its citation label but not the live URL. Recover a source URL during research.</x:v>
      </x:c>
    </x:row>
    <x:row r="80" ht="22" customHeight="1">
      <x:c r="A80" s="30" t="str">
        <x:v>Bertolino Foods</x:v>
      </x:c>
      <x:c r="B80" s="30" t="str"/>
      <x:c r="C80" s="30" t="str"/>
      <x:c r="D80" s="30" t="str">
        <x:v>Peabody</x:v>
      </x:c>
      <x:c r="E80" s="30" t="str">
        <x:v>MA</x:v>
      </x:c>
      <x:c r="F80" s="30" t="str"/>
      <x:c r="G80" s="30" t="str"/>
      <x:c r="H80" s="93" t="b">
        <x:v>1</x:v>
      </x:c>
      <x:c r="I80" s="30" t="str">
        <x:v>Prospeo</x:v>
      </x:c>
      <x:c r="J80" s="30" t="str">
        <x:v>Gemini.docx</x:v>
      </x:c>
      <x:c r="K80" s="30" t="str">
        <x:v>Employer / Grantee</x:v>
      </x:c>
      <x:c r="L80" s="30" t="str">
        <x:v>MassHire North Shore</x:v>
      </x:c>
      <x:c r="M80" s="30" t="str">
        <x:v>[cite: 5]</x:v>
      </x:c>
      <x:c r="N80" s="30" t="str"/>
      <x:c r="O80" s="87" t="n">
        <x:v>121800</x:v>
      </x:c>
      <x:c r="P80" s="90" t="n">
        <x:v>85</x:v>
      </x:c>
      <x:c r="Q80" s="30" t="str">
        <x:v>5 additional jobs</x:v>
      </x:c>
      <x:c r="R80" s="30" t="str"/>
      <x:c r="S80" s="30" t="str"/>
      <x:c r="T80" s="30" t="str"/>
      <x:c r="U80" s="30" t="str"/>
      <x:c r="V80" s="30" t="str"/>
      <x:c r="W80" s="30" t="str"/>
      <x:c r="X80" s="30" t="str"/>
      <x:c r="Y80" s="30" t="str">
        <x:v>Not Started</x:v>
      </x:c>
      <x:c r="Z80" s="30" t="str">
        <x:v>Gemini export retained its citation label but not the live URL. Recover a source URL during research.</x:v>
      </x:c>
    </x:row>
    <x:row r="81" ht="22" customHeight="1">
      <x:c r="A81" s="30" t="str">
        <x:v>Bevi</x:v>
      </x:c>
      <x:c r="B81" s="30" t="str"/>
      <x:c r="C81" s="30" t="str"/>
      <x:c r="D81" s="30" t="str">
        <x:v>Boston</x:v>
      </x:c>
      <x:c r="E81" s="30" t="str">
        <x:v>MA</x:v>
      </x:c>
      <x:c r="F81" s="30" t="str"/>
      <x:c r="G81" s="30" t="str"/>
      <x:c r="H81" s="93" t="b">
        <x:v>1</x:v>
      </x:c>
      <x:c r="I81" s="30" t="str">
        <x:v>Prospeo</x:v>
      </x:c>
      <x:c r="J81" s="30" t="str">
        <x:v>Gemini.docx</x:v>
      </x:c>
      <x:c r="K81" s="30" t="str">
        <x:v>Employer / Grantee</x:v>
      </x:c>
      <x:c r="L81" s="30" t="str">
        <x:v>MassHire Boston</x:v>
      </x:c>
      <x:c r="M81" s="30" t="str">
        <x:v>[cite: 29, 33]</x:v>
      </x:c>
      <x:c r="N81" s="30" t="str"/>
      <x:c r="O81" s="87" t="n">
        <x:v>105700</x:v>
      </x:c>
      <x:c r="P81" s="90" t="n">
        <x:v>135</x:v>
      </x:c>
      <x:c r="Q81" s="30" t="str">
        <x:v>45 additional jobs</x:v>
      </x:c>
      <x:c r="R81" s="30" t="str"/>
      <x:c r="S81" s="30" t="str"/>
      <x:c r="T81" s="30" t="str"/>
      <x:c r="U81" s="30" t="str"/>
      <x:c r="V81" s="30" t="str"/>
      <x:c r="W81" s="30" t="str"/>
      <x:c r="X81" s="30" t="str"/>
      <x:c r="Y81" s="30" t="str">
        <x:v>Not Started</x:v>
      </x:c>
      <x:c r="Z81" s="30" t="str">
        <x:v>Gemini export retained its citation label but not the live URL. Recover a source URL during research.</x:v>
      </x:c>
    </x:row>
    <x:row r="82" ht="22" customHeight="1">
      <x:c r="A82" s="30" t="str">
        <x:v>Blackbird Doughnuts &amp; Sally's Sandwiches</x:v>
      </x:c>
      <x:c r="B82" s="30" t="str"/>
      <x:c r="C82" s="30" t="str"/>
      <x:c r="D82" s="30" t="str">
        <x:v>Boston</x:v>
      </x:c>
      <x:c r="E82" s="30" t="str">
        <x:v>MA</x:v>
      </x:c>
      <x:c r="F82" s="30" t="str"/>
      <x:c r="G82" s="30" t="str"/>
      <x:c r="H82" s="93" t="b">
        <x:v>1</x:v>
      </x:c>
      <x:c r="I82" s="30" t="str">
        <x:v>Prospeo</x:v>
      </x:c>
      <x:c r="J82" s="30" t="str">
        <x:v>Gemini.docx</x:v>
      </x:c>
      <x:c r="K82" s="30" t="str">
        <x:v>Employer / Grantee</x:v>
      </x:c>
      <x:c r="L82" s="30" t="str">
        <x:v>MassHire Boston</x:v>
      </x:c>
      <x:c r="M82" s="30" t="str">
        <x:v>[cite: 28, 29, 33]</x:v>
      </x:c>
      <x:c r="N82" s="30" t="str"/>
      <x:c r="O82" s="87" t="n">
        <x:v>125450</x:v>
      </x:c>
      <x:c r="P82" s="90" t="n">
        <x:v>136</x:v>
      </x:c>
      <x:c r="Q82" s="30" t="str">
        <x:v>10 additional jobs</x:v>
      </x:c>
      <x:c r="R82" s="30" t="str"/>
      <x:c r="S82" s="30" t="str"/>
      <x:c r="T82" s="30" t="str"/>
      <x:c r="U82" s="30" t="str"/>
      <x:c r="V82" s="30" t="str"/>
      <x:c r="W82" s="30" t="str"/>
      <x:c r="X82" s="30" t="str"/>
      <x:c r="Y82" s="30" t="str">
        <x:v>Not Started</x:v>
      </x:c>
      <x:c r="Z82" s="30" t="str">
        <x:v>Gemini export retained its citation label but not the live URL. Recover a source URL during research.</x:v>
      </x:c>
    </x:row>
    <x:row r="83" ht="22" customHeight="1">
      <x:c r="A83" s="30" t="str">
        <x:v>Blue Q Corporation</x:v>
      </x:c>
      <x:c r="B83" s="30" t="str"/>
      <x:c r="C83" s="30" t="str"/>
      <x:c r="D83" s="30" t="str">
        <x:v>Pittsfield</x:v>
      </x:c>
      <x:c r="E83" s="30" t="str">
        <x:v>MA</x:v>
      </x:c>
      <x:c r="F83" s="30" t="str"/>
      <x:c r="G83" s="30" t="str"/>
      <x:c r="H83" s="93" t="b">
        <x:v>1</x:v>
      </x:c>
      <x:c r="I83" s="30" t="str">
        <x:v>Prospeo</x:v>
      </x:c>
      <x:c r="J83" s="30" t="str">
        <x:v>Gemini.docx</x:v>
      </x:c>
      <x:c r="K83" s="30" t="str">
        <x:v>Employer / Grantee</x:v>
      </x:c>
      <x:c r="L83" s="30" t="str">
        <x:v>MassHire Berkshires</x:v>
      </x:c>
      <x:c r="M83" s="30" t="str">
        <x:v>[cite: 2, 5]</x:v>
      </x:c>
      <x:c r="N83" s="30" t="str"/>
      <x:c r="O83" s="87" t="n">
        <x:v>30000</x:v>
      </x:c>
      <x:c r="P83" s="90" t="n">
        <x:v>30</x:v>
      </x:c>
      <x:c r="Q83" s="30" t="str">
        <x:v>4 additional jobs</x:v>
      </x:c>
      <x:c r="R83" s="30" t="str"/>
      <x:c r="S83" s="30" t="str"/>
      <x:c r="T83" s="30" t="str"/>
      <x:c r="U83" s="30" t="str"/>
      <x:c r="V83" s="30" t="str"/>
      <x:c r="W83" s="30" t="str"/>
      <x:c r="X83" s="30" t="str"/>
      <x:c r="Y83" s="30" t="str">
        <x:v>Not Started</x:v>
      </x:c>
      <x:c r="Z83" s="30" t="str">
        <x:v>Gemini export retained its citation label but not the live URL. Recover a source URL during research.</x:v>
      </x:c>
    </x:row>
    <x:row r="84" ht="22" customHeight="1">
      <x:c r="A84" s="30" t="str">
        <x:v>Bon Me Foods</x:v>
      </x:c>
      <x:c r="B84" s="30" t="str"/>
      <x:c r="C84" s="30" t="str"/>
      <x:c r="D84" s="30" t="str">
        <x:v>Boston</x:v>
      </x:c>
      <x:c r="E84" s="30" t="str">
        <x:v>MA</x:v>
      </x:c>
      <x:c r="F84" s="30" t="str"/>
      <x:c r="G84" s="30" t="str"/>
      <x:c r="H84" s="93" t="b">
        <x:v>1</x:v>
      </x:c>
      <x:c r="I84" s="30" t="str">
        <x:v>Prospeo</x:v>
      </x:c>
      <x:c r="J84" s="30" t="str">
        <x:v>Gemini.docx</x:v>
      </x:c>
      <x:c r="K84" s="30" t="str">
        <x:v>Employer / Grantee</x:v>
      </x:c>
      <x:c r="L84" s="30" t="str">
        <x:v>MassHire Boston</x:v>
      </x:c>
      <x:c r="M84" s="30" t="str">
        <x:v>[cite: 27]</x:v>
      </x:c>
      <x:c r="N84" s="30" t="str"/>
      <x:c r="O84" s="87" t="n">
        <x:v>71400</x:v>
      </x:c>
      <x:c r="P84" s="90" t="n">
        <x:v>24</x:v>
      </x:c>
      <x:c r="Q84" s="30" t="str">
        <x:v>None listed</x:v>
      </x:c>
      <x:c r="R84" s="30" t="str"/>
      <x:c r="S84" s="30" t="str"/>
      <x:c r="T84" s="30" t="str"/>
      <x:c r="U84" s="30" t="str"/>
      <x:c r="V84" s="30" t="str"/>
      <x:c r="W84" s="30" t="str"/>
      <x:c r="X84" s="30" t="str"/>
      <x:c r="Y84" s="30" t="str">
        <x:v>Not Started</x:v>
      </x:c>
      <x:c r="Z84" s="30" t="str">
        <x:v>Gemini export retained its citation label but not the live URL. Recover a source URL during research.</x:v>
      </x:c>
    </x:row>
    <x:row r="85" ht="22" customHeight="1">
      <x:c r="A85" s="30" t="str">
        <x:v>Borg Design</x:v>
      </x:c>
      <x:c r="B85" s="30" t="str"/>
      <x:c r="C85" s="30" t="str"/>
      <x:c r="D85" s="30" t="str">
        <x:v>Hudson</x:v>
      </x:c>
      <x:c r="E85" s="30" t="str">
        <x:v>MA</x:v>
      </x:c>
      <x:c r="F85" s="30" t="str"/>
      <x:c r="G85" s="30" t="str"/>
      <x:c r="H85" s="93" t="b">
        <x:v>1</x:v>
      </x:c>
      <x:c r="I85" s="30" t="str">
        <x:v>Prospeo</x:v>
      </x:c>
      <x:c r="J85" s="30" t="str">
        <x:v>Gemini.docx</x:v>
      </x:c>
      <x:c r="K85" s="30" t="str">
        <x:v>Employer / Grantee</x:v>
      </x:c>
      <x:c r="L85" s="30" t="str">
        <x:v>MassHire Metro South/West</x:v>
      </x:c>
      <x:c r="M85" s="30" t="str">
        <x:v>[cite: 29, 33]</x:v>
      </x:c>
      <x:c r="N85" s="30" t="str"/>
      <x:c r="O85" s="87" t="n">
        <x:v>77220</x:v>
      </x:c>
      <x:c r="P85" s="90" t="n">
        <x:v>33</x:v>
      </x:c>
      <x:c r="Q85" s="30" t="str">
        <x:v>3 additional jobs</x:v>
      </x:c>
      <x:c r="R85" s="30" t="str"/>
      <x:c r="S85" s="30" t="str"/>
      <x:c r="T85" s="30" t="str"/>
      <x:c r="U85" s="30" t="str"/>
      <x:c r="V85" s="30" t="str"/>
      <x:c r="W85" s="30" t="str"/>
      <x:c r="X85" s="30" t="str"/>
      <x:c r="Y85" s="30" t="str">
        <x:v>Not Started</x:v>
      </x:c>
      <x:c r="Z85" s="30" t="str">
        <x:v>Gemini export retained its citation label but not the live URL. Recover a source URL during research.</x:v>
      </x:c>
    </x:row>
    <x:row r="86" ht="22" customHeight="1">
      <x:c r="A86" s="30" t="str">
        <x:v>Boston Centerless</x:v>
      </x:c>
      <x:c r="B86" s="30" t="str"/>
      <x:c r="C86" s="30" t="str"/>
      <x:c r="D86" s="30" t="str">
        <x:v>Woburn</x:v>
      </x:c>
      <x:c r="E86" s="30" t="str">
        <x:v>MA</x:v>
      </x:c>
      <x:c r="F86" s="30" t="str"/>
      <x:c r="G86" s="30" t="str"/>
      <x:c r="H86" s="93" t="b">
        <x:v>1</x:v>
      </x:c>
      <x:c r="I86" s="30" t="str">
        <x:v>Prospeo</x:v>
      </x:c>
      <x:c r="J86" s="30" t="str">
        <x:v>Gemini.docx</x:v>
      </x:c>
      <x:c r="K86" s="30" t="str">
        <x:v>Employer / Grantee</x:v>
      </x:c>
      <x:c r="L86" s="30" t="str">
        <x:v>MassHire Metro North</x:v>
      </x:c>
      <x:c r="M86" s="30" t="str">
        <x:v>[cite: 5]</x:v>
      </x:c>
      <x:c r="N86" s="30" t="str"/>
      <x:c r="O86" s="87" t="n">
        <x:v>35880</x:v>
      </x:c>
      <x:c r="P86" s="90" t="n">
        <x:v>22</x:v>
      </x:c>
      <x:c r="Q86" s="30" t="str">
        <x:v>None listed</x:v>
      </x:c>
      <x:c r="R86" s="30" t="str"/>
      <x:c r="S86" s="30" t="str"/>
      <x:c r="T86" s="30" t="str"/>
      <x:c r="U86" s="30" t="str"/>
      <x:c r="V86" s="30" t="str"/>
      <x:c r="W86" s="30" t="str"/>
      <x:c r="X86" s="30" t="str"/>
      <x:c r="Y86" s="30" t="str">
        <x:v>Not Started</x:v>
      </x:c>
      <x:c r="Z86" s="30" t="str">
        <x:v>Gemini export retained its citation label but not the live URL. Recover a source URL during research.</x:v>
      </x:c>
    </x:row>
    <x:row r="87" ht="22" customHeight="1">
      <x:c r="A87" s="30" t="str">
        <x:v>Boulevard Machine &amp; Gear</x:v>
      </x:c>
      <x:c r="B87" s="30" t="str"/>
      <x:c r="C87" s="30" t="str"/>
      <x:c r="D87" s="30" t="str">
        <x:v>Westfield</x:v>
      </x:c>
      <x:c r="E87" s="30" t="str">
        <x:v>MA</x:v>
      </x:c>
      <x:c r="F87" s="30" t="str"/>
      <x:c r="G87" s="30" t="str"/>
      <x:c r="H87" s="93" t="b">
        <x:v>1</x:v>
      </x:c>
      <x:c r="I87" s="30" t="str">
        <x:v>Prospeo</x:v>
      </x:c>
      <x:c r="J87" s="30" t="str">
        <x:v>Gemini.docx</x:v>
      </x:c>
      <x:c r="K87" s="30" t="str">
        <x:v>Employer / Grantee</x:v>
      </x:c>
      <x:c r="L87" s="30" t="str">
        <x:v>MassHire Hampden</x:v>
      </x:c>
      <x:c r="M87" s="30" t="str">
        <x:v>[cite: 5]</x:v>
      </x:c>
      <x:c r="N87" s="30" t="str"/>
      <x:c r="O87" s="87" t="n">
        <x:v>55200</x:v>
      </x:c>
      <x:c r="P87" s="90" t="n">
        <x:v>22</x:v>
      </x:c>
      <x:c r="Q87" s="30" t="str">
        <x:v>1 additional job</x:v>
      </x:c>
      <x:c r="R87" s="30" t="str"/>
      <x:c r="S87" s="30" t="str"/>
      <x:c r="T87" s="30" t="str"/>
      <x:c r="U87" s="30" t="str"/>
      <x:c r="V87" s="30" t="str"/>
      <x:c r="W87" s="30" t="str"/>
      <x:c r="X87" s="30" t="str"/>
      <x:c r="Y87" s="30" t="str">
        <x:v>Not Started</x:v>
      </x:c>
      <x:c r="Z87" s="30" t="str">
        <x:v>Gemini export retained its citation label but not the live URL. Recover a source URL during research.</x:v>
      </x:c>
    </x:row>
    <x:row r="88" ht="22" customHeight="1">
      <x:c r="A88" s="30" t="str">
        <x:v>Brooks Automation US LLC</x:v>
      </x:c>
      <x:c r="B88" s="30" t="str"/>
      <x:c r="C88" s="30" t="str"/>
      <x:c r="D88" s="30" t="str">
        <x:v>Chelmsford</x:v>
      </x:c>
      <x:c r="E88" s="30" t="str">
        <x:v>MA</x:v>
      </x:c>
      <x:c r="F88" s="30" t="str"/>
      <x:c r="G88" s="30" t="str"/>
      <x:c r="H88" s="93" t="b">
        <x:v>1</x:v>
      </x:c>
      <x:c r="I88" s="30" t="str">
        <x:v>Prospeo</x:v>
      </x:c>
      <x:c r="J88" s="30" t="str">
        <x:v>Gemini.docx</x:v>
      </x:c>
      <x:c r="K88" s="30" t="str">
        <x:v>Employer / Grantee</x:v>
      </x:c>
      <x:c r="L88" s="30" t="str">
        <x:v>MassHire Greater Lowell</x:v>
      </x:c>
      <x:c r="M88" s="30" t="str">
        <x:v>[cite: 27]</x:v>
      </x:c>
      <x:c r="N88" s="30" t="str"/>
      <x:c r="O88" s="87" t="n">
        <x:v>93200</x:v>
      </x:c>
      <x:c r="P88" s="90" t="n">
        <x:v>88</x:v>
      </x:c>
      <x:c r="Q88" s="30" t="str">
        <x:v>20 additional jobs</x:v>
      </x:c>
      <x:c r="R88" s="30" t="str"/>
      <x:c r="S88" s="30" t="str"/>
      <x:c r="T88" s="30" t="str"/>
      <x:c r="U88" s="30" t="str"/>
      <x:c r="V88" s="30" t="str"/>
      <x:c r="W88" s="30" t="str"/>
      <x:c r="X88" s="30" t="str"/>
      <x:c r="Y88" s="30" t="str">
        <x:v>Not Started</x:v>
      </x:c>
      <x:c r="Z88" s="30" t="str">
        <x:v>Gemini export retained its citation label but not the live URL. Recover a source URL during research.</x:v>
      </x:c>
    </x:row>
    <x:row r="89" ht="22" customHeight="1">
      <x:c r="A89" s="30" t="str">
        <x:v>BSE Print</x:v>
      </x:c>
      <x:c r="B89" s="30" t="str"/>
      <x:c r="C89" s="30" t="str"/>
      <x:c r="D89" s="30" t="str">
        <x:v>Mansfield</x:v>
      </x:c>
      <x:c r="E89" s="30" t="str">
        <x:v>MA</x:v>
      </x:c>
      <x:c r="F89" s="30" t="str"/>
      <x:c r="G89" s="30" t="str"/>
      <x:c r="H89" s="93" t="b">
        <x:v>1</x:v>
      </x:c>
      <x:c r="I89" s="30" t="str">
        <x:v>Prospeo</x:v>
      </x:c>
      <x:c r="J89" s="30" t="str">
        <x:v>Gemini.docx</x:v>
      </x:c>
      <x:c r="K89" s="30" t="str">
        <x:v>Employer / Grantee</x:v>
      </x:c>
      <x:c r="L89" s="30" t="str">
        <x:v>MassHire Bristol County</x:v>
      </x:c>
      <x:c r="M89" s="30" t="str">
        <x:v>[cite: 2, 5]</x:v>
      </x:c>
      <x:c r="N89" s="30" t="str"/>
      <x:c r="O89" s="87" t="n">
        <x:v>50400</x:v>
      </x:c>
      <x:c r="P89" s="90" t="n">
        <x:v>19</x:v>
      </x:c>
      <x:c r="Q89" s="30" t="str">
        <x:v>2 additional jobs</x:v>
      </x:c>
      <x:c r="R89" s="30" t="str"/>
      <x:c r="S89" s="30" t="str"/>
      <x:c r="T89" s="30" t="str"/>
      <x:c r="U89" s="30" t="str"/>
      <x:c r="V89" s="30" t="str"/>
      <x:c r="W89" s="30" t="str"/>
      <x:c r="X89" s="30" t="str"/>
      <x:c r="Y89" s="30" t="str">
        <x:v>Not Started</x:v>
      </x:c>
      <x:c r="Z89" s="30" t="str">
        <x:v>Gemini export retained its citation label but not the live URL. Recover a source URL during research.</x:v>
      </x:c>
    </x:row>
    <x:row r="90" ht="22" customHeight="1">
      <x:c r="A90" s="30" t="str">
        <x:v>Built Environment Plus</x:v>
      </x:c>
      <x:c r="B90" s="30" t="str"/>
      <x:c r="C90" s="30" t="str"/>
      <x:c r="D90" s="30" t="str">
        <x:v>Somerville</x:v>
      </x:c>
      <x:c r="E90" s="30" t="str">
        <x:v>MA</x:v>
      </x:c>
      <x:c r="F90" s="30" t="str"/>
      <x:c r="G90" s="30" t="str"/>
      <x:c r="H90" s="93" t="b">
        <x:v>1</x:v>
      </x:c>
      <x:c r="I90" s="30" t="str">
        <x:v>Prospeo</x:v>
      </x:c>
      <x:c r="J90" s="30" t="str">
        <x:v>Gemini.docx</x:v>
      </x:c>
      <x:c r="K90" s="30" t="str">
        <x:v>Employer / Grantee</x:v>
      </x:c>
      <x:c r="L90" s="30" t="str">
        <x:v>MassHire Metro North</x:v>
      </x:c>
      <x:c r="M90" s="30" t="str">
        <x:v>[cite: 28, 33]</x:v>
      </x:c>
      <x:c r="N90" s="30" t="str"/>
      <x:c r="O90" s="87" t="n">
        <x:v>190295</x:v>
      </x:c>
      <x:c r="P90" s="90" t="n">
        <x:v>156</x:v>
      </x:c>
      <x:c r="Q90" s="30" t="str">
        <x:v>13 additional jobs</x:v>
      </x:c>
      <x:c r="R90" s="30" t="str"/>
      <x:c r="S90" s="30" t="str"/>
      <x:c r="T90" s="30" t="str"/>
      <x:c r="U90" s="30" t="str"/>
      <x:c r="V90" s="30" t="str"/>
      <x:c r="W90" s="30" t="str"/>
      <x:c r="X90" s="30" t="str"/>
      <x:c r="Y90" s="30" t="str">
        <x:v>Not Started</x:v>
      </x:c>
      <x:c r="Z90" s="30" t="str">
        <x:v>Gemini export retained its citation label but not the live URL. Recover a source URL during research.</x:v>
      </x:c>
    </x:row>
    <x:row r="91" ht="22" customHeight="1">
      <x:c r="A91" s="30" t="str">
        <x:v>C&amp;W Facility Services</x:v>
      </x:c>
      <x:c r="B91" s="30" t="str"/>
      <x:c r="C91" s="30" t="str"/>
      <x:c r="D91" s="30" t="str">
        <x:v>Needham</x:v>
      </x:c>
      <x:c r="E91" s="30" t="str">
        <x:v>MA</x:v>
      </x:c>
      <x:c r="F91" s="30" t="str"/>
      <x:c r="G91" s="30" t="str"/>
      <x:c r="H91" s="93" t="b">
        <x:v>1</x:v>
      </x:c>
      <x:c r="I91" s="30" t="str">
        <x:v>Prospeo</x:v>
      </x:c>
      <x:c r="J91" s="30" t="str">
        <x:v>Gemini.docx</x:v>
      </x:c>
      <x:c r="K91" s="30" t="str">
        <x:v>Employer / Grantee</x:v>
      </x:c>
      <x:c r="L91" s="30" t="str">
        <x:v>MassHire Metro South/West</x:v>
      </x:c>
      <x:c r="M91" s="30" t="str">
        <x:v>[cite: 29]</x:v>
      </x:c>
      <x:c r="N91" s="30" t="str"/>
      <x:c r="O91" s="87" t="n">
        <x:v>55760</x:v>
      </x:c>
      <x:c r="P91" s="90" t="n">
        <x:v>18</x:v>
      </x:c>
      <x:c r="Q91" s="30" t="str">
        <x:v>None listed</x:v>
      </x:c>
      <x:c r="R91" s="30" t="str"/>
      <x:c r="S91" s="30" t="str"/>
      <x:c r="T91" s="30" t="str"/>
      <x:c r="U91" s="30" t="str"/>
      <x:c r="V91" s="30" t="str"/>
      <x:c r="W91" s="30" t="str"/>
      <x:c r="X91" s="30" t="str"/>
      <x:c r="Y91" s="30" t="str">
        <x:v>Not Started</x:v>
      </x:c>
      <x:c r="Z91" s="30" t="str">
        <x:v>Gemini export retained its citation label but not the live URL. Recover a source URL during research.</x:v>
      </x:c>
    </x:row>
    <x:row r="92" ht="22" customHeight="1">
      <x:c r="A92" s="30" t="str">
        <x:v>Caring Bees Healthcare</x:v>
      </x:c>
      <x:c r="B92" s="30" t="str"/>
      <x:c r="C92" s="30" t="str"/>
      <x:c r="D92" s="30" t="str">
        <x:v>Boston</x:v>
      </x:c>
      <x:c r="E92" s="30" t="str">
        <x:v>MA</x:v>
      </x:c>
      <x:c r="F92" s="30" t="str"/>
      <x:c r="G92" s="30" t="str"/>
      <x:c r="H92" s="93" t="b">
        <x:v>1</x:v>
      </x:c>
      <x:c r="I92" s="30" t="str">
        <x:v>Prospeo</x:v>
      </x:c>
      <x:c r="J92" s="30" t="str">
        <x:v>Gemini.docx</x:v>
      </x:c>
      <x:c r="K92" s="30" t="str">
        <x:v>Employer / Grantee</x:v>
      </x:c>
      <x:c r="L92" s="30" t="str">
        <x:v>MassHire Boston</x:v>
      </x:c>
      <x:c r="M92" s="30" t="str">
        <x:v>[cite: 28, 29, 33]</x:v>
      </x:c>
      <x:c r="N92" s="30" t="str"/>
      <x:c r="O92" s="87" t="n">
        <x:v>159600</x:v>
      </x:c>
      <x:c r="P92" s="90" t="n">
        <x:v>52</x:v>
      </x:c>
      <x:c r="Q92" s="30" t="str">
        <x:v>48 additional jobs</x:v>
      </x:c>
      <x:c r="R92" s="30" t="str"/>
      <x:c r="S92" s="30" t="str"/>
      <x:c r="T92" s="30" t="str"/>
      <x:c r="U92" s="30" t="str"/>
      <x:c r="V92" s="30" t="str"/>
      <x:c r="W92" s="30" t="str"/>
      <x:c r="X92" s="30" t="str"/>
      <x:c r="Y92" s="30" t="str">
        <x:v>Not Started</x:v>
      </x:c>
      <x:c r="Z92" s="30" t="str">
        <x:v>Gemini export retained its citation label but not the live URL. Recover a source URL during research.</x:v>
      </x:c>
    </x:row>
    <x:row r="93" ht="22" customHeight="1">
      <x:c r="A93" s="30" t="str">
        <x:v>Cartamundi East Longmeadow</x:v>
      </x:c>
      <x:c r="B93" s="30" t="str"/>
      <x:c r="C93" s="30" t="str"/>
      <x:c r="D93" s="30" t="str">
        <x:v>East Longmeadow</x:v>
      </x:c>
      <x:c r="E93" s="30" t="str">
        <x:v>MA</x:v>
      </x:c>
      <x:c r="F93" s="30" t="str"/>
      <x:c r="G93" s="30" t="str"/>
      <x:c r="H93" s="93" t="b">
        <x:v>1</x:v>
      </x:c>
      <x:c r="I93" s="30" t="str">
        <x:v>Prospeo</x:v>
      </x:c>
      <x:c r="J93" s="30" t="str">
        <x:v>Gemini.docx</x:v>
      </x:c>
      <x:c r="K93" s="30" t="str">
        <x:v>Employer / Grantee</x:v>
      </x:c>
      <x:c r="L93" s="30" t="str">
        <x:v>MassHire Hampden</x:v>
      </x:c>
      <x:c r="M93" s="30" t="str">
        <x:v>[cite: 29, 33]</x:v>
      </x:c>
      <x:c r="N93" s="30" t="str"/>
      <x:c r="O93" s="87" t="n">
        <x:v>170017</x:v>
      </x:c>
      <x:c r="P93" s="90" t="n">
        <x:v>161</x:v>
      </x:c>
      <x:c r="Q93" s="30" t="str">
        <x:v>15 additional jobs</x:v>
      </x:c>
      <x:c r="R93" s="30" t="str"/>
      <x:c r="S93" s="30" t="str"/>
      <x:c r="T93" s="30" t="str"/>
      <x:c r="U93" s="30" t="str"/>
      <x:c r="V93" s="30" t="str"/>
      <x:c r="W93" s="30" t="str"/>
      <x:c r="X93" s="30" t="str"/>
      <x:c r="Y93" s="30" t="str">
        <x:v>Not Started</x:v>
      </x:c>
      <x:c r="Z93" s="30" t="str">
        <x:v>Gemini export retained its citation label but not the live URL. Recover a source URL during research.</x:v>
      </x:c>
    </x:row>
    <x:row r="94" ht="22" customHeight="1">
      <x:c r="A94" s="30" t="str">
        <x:v>Catania Oils</x:v>
      </x:c>
      <x:c r="B94" s="30" t="str"/>
      <x:c r="C94" s="30" t="str"/>
      <x:c r="D94" s="30" t="str">
        <x:v>Ayer</x:v>
      </x:c>
      <x:c r="E94" s="30" t="str">
        <x:v>MA</x:v>
      </x:c>
      <x:c r="F94" s="30" t="str"/>
      <x:c r="G94" s="30" t="str"/>
      <x:c r="H94" s="93" t="b">
        <x:v>1</x:v>
      </x:c>
      <x:c r="I94" s="30" t="str">
        <x:v>Prospeo</x:v>
      </x:c>
      <x:c r="J94" s="30" t="str">
        <x:v>Gemini.docx</x:v>
      </x:c>
      <x:c r="K94" s="30" t="str">
        <x:v>Employer / Grantee</x:v>
      </x:c>
      <x:c r="L94" s="30" t="str">
        <x:v>MassHire North Central MA</x:v>
      </x:c>
      <x:c r="M94" s="30" t="str">
        <x:v>[cite: 56]</x:v>
      </x:c>
      <x:c r="N94" s="30" t="str"/>
      <x:c r="O94" s="87" t="n">
        <x:v>135558</x:v>
      </x:c>
      <x:c r="P94" s="90" t="n">
        <x:v>57</x:v>
      </x:c>
      <x:c r="Q94" s="30" t="str">
        <x:v>10 additional jobs</x:v>
      </x:c>
      <x:c r="R94" s="30" t="str"/>
      <x:c r="S94" s="30" t="str"/>
      <x:c r="T94" s="30" t="str"/>
      <x:c r="U94" s="30" t="str"/>
      <x:c r="V94" s="30" t="str"/>
      <x:c r="W94" s="30" t="str"/>
      <x:c r="X94" s="30" t="str"/>
      <x:c r="Y94" s="30" t="str">
        <x:v>Not Started</x:v>
      </x:c>
      <x:c r="Z94" s="30" t="str">
        <x:v>Gemini export retained its citation label but not the live URL. Recover a source URL during research.</x:v>
      </x:c>
    </x:row>
    <x:row r="95" ht="22" customHeight="1">
      <x:c r="A95" s="30" t="str">
        <x:v>CBT Architects</x:v>
      </x:c>
      <x:c r="B95" s="30" t="str"/>
      <x:c r="C95" s="30" t="str"/>
      <x:c r="D95" s="30" t="str">
        <x:v>Boston</x:v>
      </x:c>
      <x:c r="E95" s="30" t="str">
        <x:v>MA</x:v>
      </x:c>
      <x:c r="F95" s="30" t="str"/>
      <x:c r="G95" s="30" t="str"/>
      <x:c r="H95" s="93" t="b">
        <x:v>1</x:v>
      </x:c>
      <x:c r="I95" s="30" t="str">
        <x:v>Prospeo</x:v>
      </x:c>
      <x:c r="J95" s="30" t="str">
        <x:v>Gemini.docx</x:v>
      </x:c>
      <x:c r="K95" s="30" t="str">
        <x:v>Employer / Grantee</x:v>
      </x:c>
      <x:c r="L95" s="30" t="str">
        <x:v>MassHire Boston</x:v>
      </x:c>
      <x:c r="M95" s="30" t="str">
        <x:v>[cite: 28, 29, 33]</x:v>
      </x:c>
      <x:c r="N95" s="30" t="str"/>
      <x:c r="O95" s="87" t="n">
        <x:v>199600</x:v>
      </x:c>
      <x:c r="P95" s="90" t="n">
        <x:v>134</x:v>
      </x:c>
      <x:c r="Q95" s="30" t="str">
        <x:v>5 additional jobs</x:v>
      </x:c>
      <x:c r="R95" s="30" t="str"/>
      <x:c r="S95" s="30" t="str"/>
      <x:c r="T95" s="30" t="str"/>
      <x:c r="U95" s="30" t="str"/>
      <x:c r="V95" s="30" t="str"/>
      <x:c r="W95" s="30" t="str"/>
      <x:c r="X95" s="30" t="str"/>
      <x:c r="Y95" s="30" t="str">
        <x:v>Not Started</x:v>
      </x:c>
      <x:c r="Z95" s="30" t="str">
        <x:v>Gemini export retained its citation label but not the live URL. Recover a source URL during research.</x:v>
      </x:c>
    </x:row>
    <x:row r="96" ht="22" customHeight="1">
      <x:c r="A96" s="30" t="str">
        <x:v>Children's Services of Roxbury</x:v>
      </x:c>
      <x:c r="B96" s="30" t="str"/>
      <x:c r="C96" s="30" t="str"/>
      <x:c r="D96" s="30" t="str">
        <x:v>Boston</x:v>
      </x:c>
      <x:c r="E96" s="30" t="str">
        <x:v>MA</x:v>
      </x:c>
      <x:c r="F96" s="30" t="str"/>
      <x:c r="G96" s="30" t="str"/>
      <x:c r="H96" s="93" t="b">
        <x:v>1</x:v>
      </x:c>
      <x:c r="I96" s="30" t="str">
        <x:v>Prospeo</x:v>
      </x:c>
      <x:c r="J96" s="30" t="str">
        <x:v>Gemini.docx</x:v>
      </x:c>
      <x:c r="K96" s="30" t="str">
        <x:v>Employer / Grantee</x:v>
      </x:c>
      <x:c r="L96" s="30" t="str">
        <x:v>MassHire Boston</x:v>
      </x:c>
      <x:c r="M96" s="30" t="str">
        <x:v>[cite: 2]</x:v>
      </x:c>
      <x:c r="N96" s="30" t="str"/>
      <x:c r="O96" s="87" t="n">
        <x:v>116430</x:v>
      </x:c>
      <x:c r="P96" s="90" t="n">
        <x:v>230</x:v>
      </x:c>
      <x:c r="Q96" s="30" t="str">
        <x:v>30 additional jobs</x:v>
      </x:c>
      <x:c r="R96" s="30" t="str"/>
      <x:c r="S96" s="30" t="str"/>
      <x:c r="T96" s="30" t="str"/>
      <x:c r="U96" s="30" t="str"/>
      <x:c r="V96" s="30" t="str"/>
      <x:c r="W96" s="30" t="str"/>
      <x:c r="X96" s="30" t="str"/>
      <x:c r="Y96" s="30" t="str">
        <x:v>Not Started</x:v>
      </x:c>
      <x:c r="Z96" s="30" t="str">
        <x:v>Gemini export retained its citation label but not the live URL. Recover a source URL during research.</x:v>
      </x:c>
    </x:row>
    <x:row r="97" ht="22" customHeight="1">
      <x:c r="A97" s="30" t="str">
        <x:v>City Experiences</x:v>
      </x:c>
      <x:c r="B97" s="30" t="str"/>
      <x:c r="C97" s="30" t="str"/>
      <x:c r="D97" s="30" t="str">
        <x:v>Boston</x:v>
      </x:c>
      <x:c r="E97" s="30" t="str">
        <x:v>MA</x:v>
      </x:c>
      <x:c r="F97" s="30" t="str"/>
      <x:c r="G97" s="30" t="str"/>
      <x:c r="H97" s="93" t="b">
        <x:v>1</x:v>
      </x:c>
      <x:c r="I97" s="30" t="str">
        <x:v>Prospeo</x:v>
      </x:c>
      <x:c r="J97" s="30" t="str">
        <x:v>Gemini.docx</x:v>
      </x:c>
      <x:c r="K97" s="30" t="str">
        <x:v>Employer / Grantee</x:v>
      </x:c>
      <x:c r="L97" s="30" t="str">
        <x:v>MassHire Boston</x:v>
      </x:c>
      <x:c r="M97" s="30" t="str">
        <x:v>[cite: 27]</x:v>
      </x:c>
      <x:c r="N97" s="30" t="str"/>
      <x:c r="O97" s="87" t="n">
        <x:v>28560</x:v>
      </x:c>
      <x:c r="P97" s="90" t="n">
        <x:v>30</x:v>
      </x:c>
      <x:c r="Q97" s="30" t="str">
        <x:v>10 additional jobs</x:v>
      </x:c>
      <x:c r="R97" s="30" t="str"/>
      <x:c r="S97" s="30" t="str"/>
      <x:c r="T97" s="30" t="str"/>
      <x:c r="U97" s="30" t="str"/>
      <x:c r="V97" s="30" t="str"/>
      <x:c r="W97" s="30" t="str"/>
      <x:c r="X97" s="30" t="str"/>
      <x:c r="Y97" s="30" t="str">
        <x:v>Not Started</x:v>
      </x:c>
      <x:c r="Z97" s="30" t="str">
        <x:v>Gemini export retained its citation label but not the live URL. Recover a source URL during research.</x:v>
      </x:c>
    </x:row>
    <x:row r="98" ht="22" customHeight="1">
      <x:c r="A98" s="30" t="str">
        <x:v>City Fresh Foods</x:v>
      </x:c>
      <x:c r="B98" s="30" t="str"/>
      <x:c r="C98" s="30" t="str"/>
      <x:c r="D98" s="30" t="str">
        <x:v>Boston</x:v>
      </x:c>
      <x:c r="E98" s="30" t="str">
        <x:v>MA</x:v>
      </x:c>
      <x:c r="F98" s="30" t="str"/>
      <x:c r="G98" s="30" t="str"/>
      <x:c r="H98" s="93" t="b">
        <x:v>1</x:v>
      </x:c>
      <x:c r="I98" s="30" t="str">
        <x:v>Prospeo</x:v>
      </x:c>
      <x:c r="J98" s="30" t="str">
        <x:v>Gemini.docx</x:v>
      </x:c>
      <x:c r="K98" s="30" t="str">
        <x:v>Employer / Grantee</x:v>
      </x:c>
      <x:c r="L98" s="30" t="str">
        <x:v>MassHire Boston</x:v>
      </x:c>
      <x:c r="M98" s="30" t="str">
        <x:v>[cite: 2, 5]</x:v>
      </x:c>
      <x:c r="N98" s="30" t="str"/>
      <x:c r="O98" s="87" t="n">
        <x:v>105600</x:v>
      </x:c>
      <x:c r="P98" s="90" t="n">
        <x:v>199</x:v>
      </x:c>
      <x:c r="Q98" s="30" t="str">
        <x:v>15 additional jobs</x:v>
      </x:c>
      <x:c r="R98" s="30" t="str"/>
      <x:c r="S98" s="30" t="str"/>
      <x:c r="T98" s="30" t="str"/>
      <x:c r="U98" s="30" t="str"/>
      <x:c r="V98" s="30" t="str"/>
      <x:c r="W98" s="30" t="str"/>
      <x:c r="X98" s="30" t="str"/>
      <x:c r="Y98" s="30" t="str">
        <x:v>Not Started</x:v>
      </x:c>
      <x:c r="Z98" s="30" t="str">
        <x:v>Gemini export retained its citation label but not the live URL. Recover a source URL during research.</x:v>
      </x:c>
    </x:row>
    <x:row r="99" ht="22" customHeight="1">
      <x:c r="A99" s="30" t="str">
        <x:v>City of Boston Credit Union</x:v>
      </x:c>
      <x:c r="B99" s="30" t="str"/>
      <x:c r="C99" s="30" t="str"/>
      <x:c r="D99" s="30" t="str">
        <x:v>Boston</x:v>
      </x:c>
      <x:c r="E99" s="30" t="str">
        <x:v>MA</x:v>
      </x:c>
      <x:c r="F99" s="30" t="str"/>
      <x:c r="G99" s="30" t="str"/>
      <x:c r="H99" s="93" t="b">
        <x:v>1</x:v>
      </x:c>
      <x:c r="I99" s="30" t="str">
        <x:v>Prospeo</x:v>
      </x:c>
      <x:c r="J99" s="30" t="str">
        <x:v>Gemini.docx</x:v>
      </x:c>
      <x:c r="K99" s="30" t="str">
        <x:v>Employer / Grantee</x:v>
      </x:c>
      <x:c r="L99" s="30" t="str">
        <x:v>MassHire Boston</x:v>
      </x:c>
      <x:c r="M99" s="30" t="str">
        <x:v>[cite: 2, 5]</x:v>
      </x:c>
      <x:c r="N99" s="30" t="str"/>
      <x:c r="O99" s="87" t="n">
        <x:v>72000</x:v>
      </x:c>
      <x:c r="P99" s="90" t="n">
        <x:v>44</x:v>
      </x:c>
      <x:c r="Q99" s="30" t="str">
        <x:v>2 additional jobs</x:v>
      </x:c>
      <x:c r="R99" s="30" t="str"/>
      <x:c r="S99" s="30" t="str"/>
      <x:c r="T99" s="30" t="str"/>
      <x:c r="U99" s="30" t="str"/>
      <x:c r="V99" s="30" t="str"/>
      <x:c r="W99" s="30" t="str"/>
      <x:c r="X99" s="30" t="str"/>
      <x:c r="Y99" s="30" t="str">
        <x:v>Not Started</x:v>
      </x:c>
      <x:c r="Z99" s="30" t="str">
        <x:v>Gemini export retained its citation label but not the live URL. Recover a source URL during research.</x:v>
      </x:c>
    </x:row>
    <x:row r="100" ht="22" customHeight="1">
      <x:c r="A100" s="30" t="str">
        <x:v>Cityscapes Plant Care</x:v>
      </x:c>
      <x:c r="B100" s="30" t="str"/>
      <x:c r="C100" s="30" t="str"/>
      <x:c r="D100" s="30" t="str">
        <x:v>Boston</x:v>
      </x:c>
      <x:c r="E100" s="30" t="str">
        <x:v>MA</x:v>
      </x:c>
      <x:c r="F100" s="30" t="str"/>
      <x:c r="G100" s="30" t="str"/>
      <x:c r="H100" s="93" t="b">
        <x:v>1</x:v>
      </x:c>
      <x:c r="I100" s="30" t="str">
        <x:v>Prospeo</x:v>
      </x:c>
      <x:c r="J100" s="30" t="str">
        <x:v>Gemini.docx</x:v>
      </x:c>
      <x:c r="K100" s="30" t="str">
        <x:v>Employer / Grantee</x:v>
      </x:c>
      <x:c r="L100" s="30" t="str">
        <x:v>MassHire Boston</x:v>
      </x:c>
      <x:c r="M100" s="30" t="str">
        <x:v>[cite: 2, 5]</x:v>
      </x:c>
      <x:c r="N100" s="30" t="str"/>
      <x:c r="O100" s="87" t="n">
        <x:v>29100</x:v>
      </x:c>
      <x:c r="P100" s="90" t="n">
        <x:v>26</x:v>
      </x:c>
      <x:c r="Q100" s="30" t="str">
        <x:v>8 additional jobs</x:v>
      </x:c>
      <x:c r="R100" s="30" t="str"/>
      <x:c r="S100" s="30" t="str"/>
      <x:c r="T100" s="30" t="str"/>
      <x:c r="U100" s="30" t="str"/>
      <x:c r="V100" s="30" t="str"/>
      <x:c r="W100" s="30" t="str"/>
      <x:c r="X100" s="30" t="str"/>
      <x:c r="Y100" s="30" t="str">
        <x:v>Not Started</x:v>
      </x:c>
      <x:c r="Z100" s="30" t="str">
        <x:v>Gemini export retained its citation label but not the live URL. Recover a source URL during research.</x:v>
      </x:c>
    </x:row>
    <x:row r="101" ht="22" customHeight="1">
      <x:c r="A101" s="30" t="str">
        <x:v>ClearMotion, Inc.</x:v>
      </x:c>
      <x:c r="B101" s="30" t="str"/>
      <x:c r="C101" s="30" t="str"/>
      <x:c r="D101" s="30" t="str">
        <x:v>Billerica</x:v>
      </x:c>
      <x:c r="E101" s="30" t="str">
        <x:v>MA</x:v>
      </x:c>
      <x:c r="F101" s="30" t="str"/>
      <x:c r="G101" s="30" t="str"/>
      <x:c r="H101" s="93" t="b">
        <x:v>1</x:v>
      </x:c>
      <x:c r="I101" s="30" t="str">
        <x:v>Prospeo</x:v>
      </x:c>
      <x:c r="J101" s="30" t="str">
        <x:v>Gemini.docx</x:v>
      </x:c>
      <x:c r="K101" s="30" t="str">
        <x:v>Employer / Grantee</x:v>
      </x:c>
      <x:c r="L101" s="30" t="str">
        <x:v>MassHire Greater Lowell</x:v>
      </x:c>
      <x:c r="M101" s="30" t="str">
        <x:v>[cite: 56]</x:v>
      </x:c>
      <x:c r="N101" s="30" t="str"/>
      <x:c r="O101" s="87" t="n">
        <x:v>229220</x:v>
      </x:c>
      <x:c r="P101" s="90" t="n">
        <x:v>99</x:v>
      </x:c>
      <x:c r="Q101" s="30" t="str">
        <x:v>25 additional jobs</x:v>
      </x:c>
      <x:c r="R101" s="30" t="str"/>
      <x:c r="S101" s="30" t="str"/>
      <x:c r="T101" s="30" t="str"/>
      <x:c r="U101" s="30" t="str"/>
      <x:c r="V101" s="30" t="str"/>
      <x:c r="W101" s="30" t="str"/>
      <x:c r="X101" s="30" t="str"/>
      <x:c r="Y101" s="30" t="str">
        <x:v>Not Started</x:v>
      </x:c>
      <x:c r="Z101" s="30" t="str">
        <x:v>Gemini export retained its citation label but not the live URL. Recover a source URL during research.</x:v>
      </x:c>
    </x:row>
    <x:row r="102" ht="22" customHeight="1">
      <x:c r="A102" s="30" t="str">
        <x:v>Colonial Saw</x:v>
      </x:c>
      <x:c r="B102" s="30" t="str"/>
      <x:c r="C102" s="30" t="str"/>
      <x:c r="D102" s="30" t="str">
        <x:v>Kingston</x:v>
      </x:c>
      <x:c r="E102" s="30" t="str">
        <x:v>MA</x:v>
      </x:c>
      <x:c r="F102" s="30" t="str"/>
      <x:c r="G102" s="30" t="str"/>
      <x:c r="H102" s="93" t="b">
        <x:v>1</x:v>
      </x:c>
      <x:c r="I102" s="30" t="str">
        <x:v>Prospeo</x:v>
      </x:c>
      <x:c r="J102" s="30" t="str">
        <x:v>Gemini.docx</x:v>
      </x:c>
      <x:c r="K102" s="30" t="str">
        <x:v>Employer / Grantee</x:v>
      </x:c>
      <x:c r="L102" s="30" t="str">
        <x:v>MassHire South Shore</x:v>
      </x:c>
      <x:c r="M102" s="30" t="str">
        <x:v>[cite: 29, 33]</x:v>
      </x:c>
      <x:c r="N102" s="30" t="str"/>
      <x:c r="O102" s="87" t="n">
        <x:v>83350</x:v>
      </x:c>
      <x:c r="P102" s="90" t="n">
        <x:v>22</x:v>
      </x:c>
      <x:c r="Q102" s="30" t="str">
        <x:v>4 additional jobs</x:v>
      </x:c>
      <x:c r="R102" s="30" t="str"/>
      <x:c r="S102" s="30" t="str"/>
      <x:c r="T102" s="30" t="str"/>
      <x:c r="U102" s="30" t="str"/>
      <x:c r="V102" s="30" t="str"/>
      <x:c r="W102" s="30" t="str"/>
      <x:c r="X102" s="30" t="str"/>
      <x:c r="Y102" s="30" t="str">
        <x:v>Not Started</x:v>
      </x:c>
      <x:c r="Z102" s="30" t="str">
        <x:v>Gemini export retained its citation label but not the live URL. Recover a source URL during research.</x:v>
      </x:c>
    </x:row>
    <x:row r="103" ht="22" customHeight="1">
      <x:c r="A103" s="30" t="str">
        <x:v>Comalli Group</x:v>
      </x:c>
      <x:c r="B103" s="30" t="str"/>
      <x:c r="C103" s="30" t="str"/>
      <x:c r="D103" s="30" t="str">
        <x:v>Pittsfield</x:v>
      </x:c>
      <x:c r="E103" s="30" t="str">
        <x:v>MA</x:v>
      </x:c>
      <x:c r="F103" s="30" t="str"/>
      <x:c r="G103" s="30" t="str"/>
      <x:c r="H103" s="93" t="b">
        <x:v>1</x:v>
      </x:c>
      <x:c r="I103" s="30" t="str">
        <x:v>Prospeo</x:v>
      </x:c>
      <x:c r="J103" s="30" t="str">
        <x:v>Gemini.docx</x:v>
      </x:c>
      <x:c r="K103" s="30" t="str">
        <x:v>Employer / Grantee</x:v>
      </x:c>
      <x:c r="L103" s="30" t="str">
        <x:v>MassHire Berkshires</x:v>
      </x:c>
      <x:c r="M103" s="30" t="str">
        <x:v>[cite: 2, 5]</x:v>
      </x:c>
      <x:c r="N103" s="30" t="str"/>
      <x:c r="O103" s="87" t="n">
        <x:v>80400</x:v>
      </x:c>
      <x:c r="P103" s="90" t="n">
        <x:v>48</x:v>
      </x:c>
      <x:c r="Q103" s="30" t="str">
        <x:v>7 additional jobs</x:v>
      </x:c>
      <x:c r="R103" s="30" t="str"/>
      <x:c r="S103" s="30" t="str"/>
      <x:c r="T103" s="30" t="str"/>
      <x:c r="U103" s="30" t="str"/>
      <x:c r="V103" s="30" t="str"/>
      <x:c r="W103" s="30" t="str"/>
      <x:c r="X103" s="30" t="str"/>
      <x:c r="Y103" s="30" t="str">
        <x:v>Not Started</x:v>
      </x:c>
      <x:c r="Z103" s="30" t="str">
        <x:v>Gemini export retained its citation label but not the live URL. Recover a source URL during research.</x:v>
      </x:c>
    </x:row>
    <x:row r="104" ht="22" customHeight="1">
      <x:c r="A104" s="30" t="str">
        <x:v>Commonwealth Soap &amp; Toiletries</x:v>
      </x:c>
      <x:c r="B104" s="30" t="str"/>
      <x:c r="C104" s="30" t="str"/>
      <x:c r="D104" s="30" t="str">
        <x:v>Fall River</x:v>
      </x:c>
      <x:c r="E104" s="30" t="str">
        <x:v>MA</x:v>
      </x:c>
      <x:c r="F104" s="30" t="str"/>
      <x:c r="G104" s="30" t="str"/>
      <x:c r="H104" s="93" t="b">
        <x:v>1</x:v>
      </x:c>
      <x:c r="I104" s="30" t="str">
        <x:v>Prospeo</x:v>
      </x:c>
      <x:c r="J104" s="30" t="str">
        <x:v>Gemini.docx</x:v>
      </x:c>
      <x:c r="K104" s="30" t="str">
        <x:v>Employer / Grantee</x:v>
      </x:c>
      <x:c r="L104" s="30" t="str">
        <x:v>MassHire Bristol County</x:v>
      </x:c>
      <x:c r="M104" s="30" t="str">
        <x:v>[cite: 2, 5]</x:v>
      </x:c>
      <x:c r="N104" s="30" t="str"/>
      <x:c r="O104" s="87" t="n">
        <x:v>55800</x:v>
      </x:c>
      <x:c r="P104" s="90" t="n">
        <x:v>47</x:v>
      </x:c>
      <x:c r="Q104" s="30" t="str">
        <x:v>4 additional jobs</x:v>
      </x:c>
      <x:c r="R104" s="30" t="str"/>
      <x:c r="S104" s="30" t="str"/>
      <x:c r="T104" s="30" t="str"/>
      <x:c r="U104" s="30" t="str"/>
      <x:c r="V104" s="30" t="str"/>
      <x:c r="W104" s="30" t="str"/>
      <x:c r="X104" s="30" t="str"/>
      <x:c r="Y104" s="30" t="str">
        <x:v>Not Started</x:v>
      </x:c>
      <x:c r="Z104" s="30" t="str">
        <x:v>Gemini export retained its citation label but not the live URL. Recover a source URL during research.</x:v>
      </x:c>
    </x:row>
    <x:row r="105" ht="22" customHeight="1">
      <x:c r="A105" s="30" t="str">
        <x:v>Compare Supermarket</x:v>
      </x:c>
      <x:c r="B105" s="30" t="str"/>
      <x:c r="C105" s="30" t="str"/>
      <x:c r="D105" s="30" t="str">
        <x:v>Chelsea</x:v>
      </x:c>
      <x:c r="E105" s="30" t="str">
        <x:v>MA</x:v>
      </x:c>
      <x:c r="F105" s="30" t="str"/>
      <x:c r="G105" s="30" t="str"/>
      <x:c r="H105" s="93" t="b">
        <x:v>1</x:v>
      </x:c>
      <x:c r="I105" s="30" t="str">
        <x:v>Prospeo</x:v>
      </x:c>
      <x:c r="J105" s="30" t="str">
        <x:v>Gemini.docx</x:v>
      </x:c>
      <x:c r="K105" s="30" t="str">
        <x:v>Employer / Grantee</x:v>
      </x:c>
      <x:c r="L105" s="30" t="str">
        <x:v>MassHire Metro North</x:v>
      </x:c>
      <x:c r="M105" s="30" t="str">
        <x:v>[cite: 56]</x:v>
      </x:c>
      <x:c r="N105" s="30" t="str"/>
      <x:c r="O105" s="87" t="n">
        <x:v>107188</x:v>
      </x:c>
      <x:c r="P105" s="90" t="n">
        <x:v>81</x:v>
      </x:c>
      <x:c r="Q105" s="30" t="str">
        <x:v>12 additional jobs</x:v>
      </x:c>
      <x:c r="R105" s="30" t="str"/>
      <x:c r="S105" s="30" t="str"/>
      <x:c r="T105" s="30" t="str"/>
      <x:c r="U105" s="30" t="str"/>
      <x:c r="V105" s="30" t="str"/>
      <x:c r="W105" s="30" t="str"/>
      <x:c r="X105" s="30" t="str"/>
      <x:c r="Y105" s="30" t="str">
        <x:v>Not Started</x:v>
      </x:c>
      <x:c r="Z105" s="30" t="str">
        <x:v>Gemini export retained its citation label but not the live URL. Recover a source URL during research.</x:v>
      </x:c>
    </x:row>
    <x:row r="106" ht="22" customHeight="1">
      <x:c r="A106" s="30" t="str">
        <x:v>Consolidated Sterilizer Systems</x:v>
      </x:c>
      <x:c r="B106" s="30" t="str"/>
      <x:c r="C106" s="30" t="str"/>
      <x:c r="D106" s="30" t="str">
        <x:v>Billerica</x:v>
      </x:c>
      <x:c r="E106" s="30" t="str">
        <x:v>MA</x:v>
      </x:c>
      <x:c r="F106" s="30" t="str"/>
      <x:c r="G106" s="30" t="str"/>
      <x:c r="H106" s="93" t="b">
        <x:v>1</x:v>
      </x:c>
      <x:c r="I106" s="30" t="str">
        <x:v>Prospeo</x:v>
      </x:c>
      <x:c r="J106" s="30" t="str">
        <x:v>Gemini.docx</x:v>
      </x:c>
      <x:c r="K106" s="30" t="str">
        <x:v>Employer / Grantee</x:v>
      </x:c>
      <x:c r="L106" s="30" t="str">
        <x:v>MassHire Greater Lowell</x:v>
      </x:c>
      <x:c r="M106" s="30" t="str">
        <x:v>[cite: 56]</x:v>
      </x:c>
      <x:c r="N106" s="30" t="str"/>
      <x:c r="O106" s="87" t="n">
        <x:v>143500</x:v>
      </x:c>
      <x:c r="P106" s="90" t="n">
        <x:v>48</x:v>
      </x:c>
      <x:c r="Q106" s="30" t="str">
        <x:v>3 additional jobs</x:v>
      </x:c>
      <x:c r="R106" s="30" t="str"/>
      <x:c r="S106" s="30" t="str"/>
      <x:c r="T106" s="30" t="str"/>
      <x:c r="U106" s="30" t="str"/>
      <x:c r="V106" s="30" t="str"/>
      <x:c r="W106" s="30" t="str"/>
      <x:c r="X106" s="30" t="str"/>
      <x:c r="Y106" s="30" t="str">
        <x:v>Not Started</x:v>
      </x:c>
      <x:c r="Z106" s="30" t="str">
        <x:v>Gemini export retained its citation label but not the live URL. Recover a source URL during research.</x:v>
      </x:c>
    </x:row>
    <x:row r="107" ht="22" customHeight="1">
      <x:c r="A107" s="30" t="str">
        <x:v>Courtyard Boston Downtown</x:v>
      </x:c>
      <x:c r="B107" s="30" t="str"/>
      <x:c r="C107" s="30" t="str"/>
      <x:c r="D107" s="30" t="str">
        <x:v>Boston</x:v>
      </x:c>
      <x:c r="E107" s="30" t="str">
        <x:v>MA</x:v>
      </x:c>
      <x:c r="F107" s="30" t="str"/>
      <x:c r="G107" s="30" t="str"/>
      <x:c r="H107" s="93" t="b">
        <x:v>1</x:v>
      </x:c>
      <x:c r="I107" s="30" t="str">
        <x:v>Prospeo</x:v>
      </x:c>
      <x:c r="J107" s="30" t="str">
        <x:v>Gemini.docx</x:v>
      </x:c>
      <x:c r="K107" s="30" t="str">
        <x:v>Employer / Grantee</x:v>
      </x:c>
      <x:c r="L107" s="30" t="str">
        <x:v>MassHire Boston</x:v>
      </x:c>
      <x:c r="M107" s="30" t="str">
        <x:v>[cite: 2]</x:v>
      </x:c>
      <x:c r="N107" s="30" t="str"/>
      <x:c r="O107" s="87" t="n">
        <x:v>100800</x:v>
      </x:c>
      <x:c r="P107" s="90" t="n">
        <x:v>48</x:v>
      </x:c>
      <x:c r="Q107" s="30" t="str">
        <x:v>None listed</x:v>
      </x:c>
      <x:c r="R107" s="30" t="str"/>
      <x:c r="S107" s="30" t="str"/>
      <x:c r="T107" s="30" t="str"/>
      <x:c r="U107" s="30" t="str"/>
      <x:c r="V107" s="30" t="str"/>
      <x:c r="W107" s="30" t="str"/>
      <x:c r="X107" s="30" t="str"/>
      <x:c r="Y107" s="30" t="str">
        <x:v>Not Started</x:v>
      </x:c>
      <x:c r="Z107" s="30" t="str">
        <x:v>Gemini export retained its citation label but not the live URL. Recover a source URL during research.</x:v>
      </x:c>
    </x:row>
    <x:row r="108" ht="22" customHeight="1">
      <x:c r="A108" s="30" t="str">
        <x:v>Creative Office Resources</x:v>
      </x:c>
      <x:c r="B108" s="30" t="str"/>
      <x:c r="C108" s="30" t="str"/>
      <x:c r="D108" s="30" t="str">
        <x:v>Boston</x:v>
      </x:c>
      <x:c r="E108" s="30" t="str">
        <x:v>MA</x:v>
      </x:c>
      <x:c r="F108" s="30" t="str"/>
      <x:c r="G108" s="30" t="str"/>
      <x:c r="H108" s="93" t="b">
        <x:v>1</x:v>
      </x:c>
      <x:c r="I108" s="30" t="str">
        <x:v>Prospeo</x:v>
      </x:c>
      <x:c r="J108" s="30" t="str">
        <x:v>Gemini.docx</x:v>
      </x:c>
      <x:c r="K108" s="30" t="str">
        <x:v>Employer / Grantee</x:v>
      </x:c>
      <x:c r="L108" s="30" t="str">
        <x:v>MassHire Boston</x:v>
      </x:c>
      <x:c r="M108" s="30" t="str">
        <x:v>[cite: 2, 5]</x:v>
      </x:c>
      <x:c r="N108" s="30" t="str"/>
      <x:c r="O108" s="87" t="n">
        <x:v>73200</x:v>
      </x:c>
      <x:c r="P108" s="90" t="n">
        <x:v>192</x:v>
      </x:c>
      <x:c r="Q108" s="30" t="str">
        <x:v>5 additional jobs</x:v>
      </x:c>
      <x:c r="R108" s="30" t="str"/>
      <x:c r="S108" s="30" t="str"/>
      <x:c r="T108" s="30" t="str"/>
      <x:c r="U108" s="30" t="str"/>
      <x:c r="V108" s="30" t="str"/>
      <x:c r="W108" s="30" t="str"/>
      <x:c r="X108" s="30" t="str"/>
      <x:c r="Y108" s="30" t="str">
        <x:v>Not Started</x:v>
      </x:c>
      <x:c r="Z108" s="30" t="str">
        <x:v>Gemini export retained its citation label but not the live URL. Recover a source URL during research.</x:v>
      </x:c>
    </x:row>
    <x:row r="109" ht="22" customHeight="1">
      <x:c r="A109" s="30" t="str">
        <x:v>Dan-Kar</x:v>
      </x:c>
      <x:c r="B109" s="30" t="str"/>
      <x:c r="C109" s="30" t="str"/>
      <x:c r="D109" s="30" t="str">
        <x:v>Woburn</x:v>
      </x:c>
      <x:c r="E109" s="30" t="str">
        <x:v>MA</x:v>
      </x:c>
      <x:c r="F109" s="30" t="str"/>
      <x:c r="G109" s="30" t="str"/>
      <x:c r="H109" s="93" t="b">
        <x:v>1</x:v>
      </x:c>
      <x:c r="I109" s="30" t="str">
        <x:v>Prospeo</x:v>
      </x:c>
      <x:c r="J109" s="30" t="str">
        <x:v>Gemini.docx</x:v>
      </x:c>
      <x:c r="K109" s="30" t="str">
        <x:v>Employer / Grantee</x:v>
      </x:c>
      <x:c r="L109" s="30" t="str">
        <x:v>MassHire Metro North</x:v>
      </x:c>
      <x:c r="M109" s="30" t="str">
        <x:v>[cite: 29]</x:v>
      </x:c>
      <x:c r="N109" s="30" t="str"/>
      <x:c r="O109" s="87" t="n">
        <x:v>37400</x:v>
      </x:c>
      <x:c r="P109" s="90" t="n">
        <x:v>11</x:v>
      </x:c>
      <x:c r="Q109" s="30" t="str">
        <x:v>2 additional jobs</x:v>
      </x:c>
      <x:c r="R109" s="30" t="str"/>
      <x:c r="S109" s="30" t="str"/>
      <x:c r="T109" s="30" t="str"/>
      <x:c r="U109" s="30" t="str"/>
      <x:c r="V109" s="30" t="str"/>
      <x:c r="W109" s="30" t="str"/>
      <x:c r="X109" s="30" t="str"/>
      <x:c r="Y109" s="30" t="str">
        <x:v>Not Started</x:v>
      </x:c>
      <x:c r="Z109" s="30" t="str">
        <x:v>Gemini export retained its citation label but not the live URL. Recover a source URL during research.</x:v>
      </x:c>
    </x:row>
    <x:row r="110" ht="22" customHeight="1">
      <x:c r="A110" s="30" t="str">
        <x:v>Danvers Industrial Packaging</x:v>
      </x:c>
      <x:c r="B110" s="30" t="str"/>
      <x:c r="C110" s="30" t="str"/>
      <x:c r="D110" s="30" t="str">
        <x:v>Beverly</x:v>
      </x:c>
      <x:c r="E110" s="30" t="str">
        <x:v>MA</x:v>
      </x:c>
      <x:c r="F110" s="30" t="str"/>
      <x:c r="G110" s="30" t="str"/>
      <x:c r="H110" s="93" t="b">
        <x:v>1</x:v>
      </x:c>
      <x:c r="I110" s="30" t="str">
        <x:v>Prospeo</x:v>
      </x:c>
      <x:c r="J110" s="30" t="str">
        <x:v>Gemini.docx</x:v>
      </x:c>
      <x:c r="K110" s="30" t="str">
        <x:v>Employer / Grantee</x:v>
      </x:c>
      <x:c r="L110" s="30" t="str">
        <x:v>MassHire North Shore</x:v>
      </x:c>
      <x:c r="M110" s="30" t="str">
        <x:v>[cite: 33]</x:v>
      </x:c>
      <x:c r="N110" s="30" t="str"/>
      <x:c r="O110" s="87" t="n">
        <x:v>42000</x:v>
      </x:c>
      <x:c r="P110" s="90" t="n">
        <x:v>11</x:v>
      </x:c>
      <x:c r="Q110" s="30" t="str">
        <x:v>1 additional job</x:v>
      </x:c>
      <x:c r="R110" s="30" t="str"/>
      <x:c r="S110" s="30" t="str"/>
      <x:c r="T110" s="30" t="str"/>
      <x:c r="U110" s="30" t="str"/>
      <x:c r="V110" s="30" t="str"/>
      <x:c r="W110" s="30" t="str"/>
      <x:c r="X110" s="30" t="str"/>
      <x:c r="Y110" s="30" t="str">
        <x:v>Not Started</x:v>
      </x:c>
      <x:c r="Z110" s="30" t="str">
        <x:v>Gemini export retained its citation label but not the live URL. Recover a source URL during research.</x:v>
      </x:c>
    </x:row>
    <x:row r="111" ht="22" customHeight="1">
      <x:c r="A111" s="30" t="str">
        <x:v>Dean Cooperative Bank</x:v>
      </x:c>
      <x:c r="B111" s="30" t="str"/>
      <x:c r="C111" s="30" t="str"/>
      <x:c r="D111" s="30" t="str">
        <x:v>Franklin</x:v>
      </x:c>
      <x:c r="E111" s="30" t="str">
        <x:v>MA</x:v>
      </x:c>
      <x:c r="F111" s="30" t="str"/>
      <x:c r="G111" s="30" t="str"/>
      <x:c r="H111" s="93" t="b">
        <x:v>1</x:v>
      </x:c>
      <x:c r="I111" s="30" t="str">
        <x:v>Prospeo</x:v>
      </x:c>
      <x:c r="J111" s="30" t="str">
        <x:v>Gemini.docx</x:v>
      </x:c>
      <x:c r="K111" s="30" t="str">
        <x:v>Employer / Grantee</x:v>
      </x:c>
      <x:c r="L111" s="30" t="str">
        <x:v>MassHire Central MA</x:v>
      </x:c>
      <x:c r="M111" s="30" t="str">
        <x:v>[cite: 5]</x:v>
      </x:c>
      <x:c r="N111" s="30" t="str"/>
      <x:c r="O111" s="87" t="n">
        <x:v>42000</x:v>
      </x:c>
      <x:c r="P111" s="90" t="n">
        <x:v>37</x:v>
      </x:c>
      <x:c r="Q111" s="30" t="str">
        <x:v>3 additional jobs</x:v>
      </x:c>
      <x:c r="R111" s="30" t="str"/>
      <x:c r="S111" s="30" t="str"/>
      <x:c r="T111" s="30" t="str"/>
      <x:c r="U111" s="30" t="str"/>
      <x:c r="V111" s="30" t="str"/>
      <x:c r="W111" s="30" t="str"/>
      <x:c r="X111" s="30" t="str"/>
      <x:c r="Y111" s="30" t="str">
        <x:v>Not Started</x:v>
      </x:c>
      <x:c r="Z111" s="30" t="str">
        <x:v>Gemini export retained its citation label but not the live URL. Recover a source URL during research.</x:v>
      </x:c>
    </x:row>
    <x:row r="112" ht="22" customHeight="1">
      <x:c r="A112" s="30" t="str">
        <x:v>DEM Biopharma</x:v>
      </x:c>
      <x:c r="B112" s="30" t="str"/>
      <x:c r="C112" s="30" t="str"/>
      <x:c r="D112" s="30" t="str">
        <x:v>Boston</x:v>
      </x:c>
      <x:c r="E112" s="30" t="str">
        <x:v>MA</x:v>
      </x:c>
      <x:c r="F112" s="30" t="str"/>
      <x:c r="G112" s="30" t="str"/>
      <x:c r="H112" s="93" t="b">
        <x:v>1</x:v>
      </x:c>
      <x:c r="I112" s="30" t="str">
        <x:v>Prospeo</x:v>
      </x:c>
      <x:c r="J112" s="30" t="str">
        <x:v>Gemini.docx</x:v>
      </x:c>
      <x:c r="K112" s="30" t="str">
        <x:v>Employer / Grantee</x:v>
      </x:c>
      <x:c r="L112" s="30" t="str">
        <x:v>MassHire Boston</x:v>
      </x:c>
      <x:c r="M112" s="30" t="str">
        <x:v>[cite: 29, 33]</x:v>
      </x:c>
      <x:c r="N112" s="30" t="str"/>
      <x:c r="O112" s="87" t="n">
        <x:v>103950</x:v>
      </x:c>
      <x:c r="P112" s="90" t="n">
        <x:v>26</x:v>
      </x:c>
      <x:c r="Q112" s="30" t="str">
        <x:v>5 additional jobs</x:v>
      </x:c>
      <x:c r="R112" s="30" t="str"/>
      <x:c r="S112" s="30" t="str"/>
      <x:c r="T112" s="30" t="str"/>
      <x:c r="U112" s="30" t="str"/>
      <x:c r="V112" s="30" t="str"/>
      <x:c r="W112" s="30" t="str"/>
      <x:c r="X112" s="30" t="str"/>
      <x:c r="Y112" s="30" t="str">
        <x:v>Not Started</x:v>
      </x:c>
      <x:c r="Z112" s="30" t="str">
        <x:v>Gemini export retained its citation label but not the live URL. Recover a source URL during research.</x:v>
      </x:c>
    </x:row>
    <x:row r="113" ht="22" customHeight="1">
      <x:c r="A113" s="30" t="str">
        <x:v>Dimeo Construction Company</x:v>
      </x:c>
      <x:c r="B113" s="30" t="str"/>
      <x:c r="C113" s="30" t="str"/>
      <x:c r="D113" s="30" t="str">
        <x:v>Boston</x:v>
      </x:c>
      <x:c r="E113" s="30" t="str">
        <x:v>MA</x:v>
      </x:c>
      <x:c r="F113" s="30" t="str"/>
      <x:c r="G113" s="30" t="str"/>
      <x:c r="H113" s="93" t="b">
        <x:v>1</x:v>
      </x:c>
      <x:c r="I113" s="30" t="str">
        <x:v>Prospeo</x:v>
      </x:c>
      <x:c r="J113" s="30" t="str">
        <x:v>Gemini.docx</x:v>
      </x:c>
      <x:c r="K113" s="30" t="str">
        <x:v>Employer / Grantee</x:v>
      </x:c>
      <x:c r="L113" s="30" t="str">
        <x:v>MassHire Boston</x:v>
      </x:c>
      <x:c r="M113" s="30" t="str">
        <x:v>[cite: 2, 5]</x:v>
      </x:c>
      <x:c r="N113" s="30" t="str"/>
      <x:c r="O113" s="87" t="n">
        <x:v>57600</x:v>
      </x:c>
      <x:c r="P113" s="90" t="n">
        <x:v>41</x:v>
      </x:c>
      <x:c r="Q113" s="30" t="str">
        <x:v>6 additional jobs</x:v>
      </x:c>
      <x:c r="R113" s="30" t="str"/>
      <x:c r="S113" s="30" t="str"/>
      <x:c r="T113" s="30" t="str"/>
      <x:c r="U113" s="30" t="str"/>
      <x:c r="V113" s="30" t="str"/>
      <x:c r="W113" s="30" t="str"/>
      <x:c r="X113" s="30" t="str"/>
      <x:c r="Y113" s="30" t="str">
        <x:v>Not Started</x:v>
      </x:c>
      <x:c r="Z113" s="30" t="str">
        <x:v>Gemini export retained its citation label but not the live URL. Recover a source URL during research.</x:v>
      </x:c>
    </x:row>
    <x:row r="114" ht="22" customHeight="1">
      <x:c r="A114" s="30" t="str">
        <x:v>Eagle Stainless Tube &amp; Fabrication</x:v>
      </x:c>
      <x:c r="B114" s="30" t="str"/>
      <x:c r="C114" s="30" t="str"/>
      <x:c r="D114" s="30" t="str">
        <x:v>Franklin</x:v>
      </x:c>
      <x:c r="E114" s="30" t="str">
        <x:v>MA</x:v>
      </x:c>
      <x:c r="F114" s="30" t="str"/>
      <x:c r="G114" s="30" t="str"/>
      <x:c r="H114" s="93" t="b">
        <x:v>1</x:v>
      </x:c>
      <x:c r="I114" s="30" t="str">
        <x:v>Prospeo</x:v>
      </x:c>
      <x:c r="J114" s="30" t="str">
        <x:v>Gemini.docx</x:v>
      </x:c>
      <x:c r="K114" s="30" t="str">
        <x:v>Employer / Grantee</x:v>
      </x:c>
      <x:c r="L114" s="30" t="str">
        <x:v>MassHire Central MA</x:v>
      </x:c>
      <x:c r="M114" s="30" t="str">
        <x:v>[cite: 5]</x:v>
      </x:c>
      <x:c r="N114" s="30" t="str"/>
      <x:c r="O114" s="87" t="n">
        <x:v>117600</x:v>
      </x:c>
      <x:c r="P114" s="90" t="n">
        <x:v>86</x:v>
      </x:c>
      <x:c r="Q114" s="30" t="str">
        <x:v>5 additional jobs</x:v>
      </x:c>
      <x:c r="R114" s="30" t="str"/>
      <x:c r="S114" s="30" t="str"/>
      <x:c r="T114" s="30" t="str"/>
      <x:c r="U114" s="30" t="str"/>
      <x:c r="V114" s="30" t="str"/>
      <x:c r="W114" s="30" t="str"/>
      <x:c r="X114" s="30" t="str"/>
      <x:c r="Y114" s="30" t="str">
        <x:v>Not Started</x:v>
      </x:c>
      <x:c r="Z114" s="30" t="str">
        <x:v>Gemini export retained its citation label but not the live URL. Recover a source URL during research.</x:v>
      </x:c>
    </x:row>
    <x:row r="115" ht="22" customHeight="1">
      <x:c r="A115" s="30" t="str">
        <x:v>Electronic Products</x:v>
      </x:c>
      <x:c r="B115" s="30" t="str"/>
      <x:c r="C115" s="30" t="str"/>
      <x:c r="D115" s="30" t="str">
        <x:v>Newburyport</x:v>
      </x:c>
      <x:c r="E115" s="30" t="str">
        <x:v>MA</x:v>
      </x:c>
      <x:c r="F115" s="30" t="str"/>
      <x:c r="G115" s="30" t="str"/>
      <x:c r="H115" s="93" t="b">
        <x:v>1</x:v>
      </x:c>
      <x:c r="I115" s="30" t="str">
        <x:v>Prospeo</x:v>
      </x:c>
      <x:c r="J115" s="30" t="str">
        <x:v>Gemini.docx</x:v>
      </x:c>
      <x:c r="K115" s="30" t="str">
        <x:v>Employer / Grantee</x:v>
      </x:c>
      <x:c r="L115" s="30" t="str">
        <x:v>MassHire Merrimack Valley</x:v>
      </x:c>
      <x:c r="M115" s="30" t="str">
        <x:v>[cite: 28]</x:v>
      </x:c>
      <x:c r="N115" s="30" t="str"/>
      <x:c r="O115" s="87" t="n">
        <x:v>135600</x:v>
      </x:c>
      <x:c r="P115" s="90" t="n">
        <x:v>30</x:v>
      </x:c>
      <x:c r="Q115" s="30" t="str">
        <x:v>10 additional jobs</x:v>
      </x:c>
      <x:c r="R115" s="30" t="str"/>
      <x:c r="S115" s="30" t="str"/>
      <x:c r="T115" s="30" t="str"/>
      <x:c r="U115" s="30" t="str"/>
      <x:c r="V115" s="30" t="str"/>
      <x:c r="W115" s="30" t="str"/>
      <x:c r="X115" s="30" t="str"/>
      <x:c r="Y115" s="30" t="str">
        <x:v>Not Started</x:v>
      </x:c>
      <x:c r="Z115" s="30" t="str">
        <x:v>Gemini export retained its citation label but not the live URL. Recover a source URL during research.</x:v>
      </x:c>
    </x:row>
    <x:row r="116" ht="22" customHeight="1">
      <x:c r="A116" s="30" t="str">
        <x:v>Embrace Pathways to Wellness</x:v>
      </x:c>
      <x:c r="B116" s="30" t="str"/>
      <x:c r="C116" s="30" t="str"/>
      <x:c r="D116" s="30" t="str">
        <x:v>Peabody</x:v>
      </x:c>
      <x:c r="E116" s="30" t="str">
        <x:v>MA</x:v>
      </x:c>
      <x:c r="F116" s="30" t="str"/>
      <x:c r="G116" s="30" t="str"/>
      <x:c r="H116" s="93" t="b">
        <x:v>1</x:v>
      </x:c>
      <x:c r="I116" s="30" t="str">
        <x:v>Prospeo</x:v>
      </x:c>
      <x:c r="J116" s="30" t="str">
        <x:v>Gemini.docx</x:v>
      </x:c>
      <x:c r="K116" s="30" t="str">
        <x:v>Employer / Grantee</x:v>
      </x:c>
      <x:c r="L116" s="30" t="str">
        <x:v>MassHire North Shore</x:v>
      </x:c>
      <x:c r="M116" s="30" t="str">
        <x:v>[cite: 5]</x:v>
      </x:c>
      <x:c r="N116" s="30" t="str"/>
      <x:c r="O116" s="87" t="n">
        <x:v>45600</x:v>
      </x:c>
      <x:c r="P116" s="90" t="n">
        <x:v>27</x:v>
      </x:c>
      <x:c r="Q116" s="30" t="str">
        <x:v>21 additional jobs</x:v>
      </x:c>
      <x:c r="R116" s="30" t="str"/>
      <x:c r="S116" s="30" t="str"/>
      <x:c r="T116" s="30" t="str"/>
      <x:c r="U116" s="30" t="str"/>
      <x:c r="V116" s="30" t="str"/>
      <x:c r="W116" s="30" t="str"/>
      <x:c r="X116" s="30" t="str"/>
      <x:c r="Y116" s="30" t="str">
        <x:v>Not Started</x:v>
      </x:c>
      <x:c r="Z116" s="30" t="str">
        <x:v>Gemini export retained its citation label but not the live URL. Recover a source URL during research.</x:v>
      </x:c>
    </x:row>
    <x:row r="117" ht="22" customHeight="1">
      <x:c r="A117" s="30" t="str">
        <x:v>Energetiq</x:v>
      </x:c>
      <x:c r="B117" s="30" t="str"/>
      <x:c r="C117" s="30" t="str"/>
      <x:c r="D117" s="30" t="str">
        <x:v>Wilmington</x:v>
      </x:c>
      <x:c r="E117" s="30" t="str">
        <x:v>MA</x:v>
      </x:c>
      <x:c r="F117" s="30" t="str"/>
      <x:c r="G117" s="30" t="str"/>
      <x:c r="H117" s="93" t="b">
        <x:v>1</x:v>
      </x:c>
      <x:c r="I117" s="30" t="str">
        <x:v>Prospeo</x:v>
      </x:c>
      <x:c r="J117" s="30" t="str">
        <x:v>Gemini.docx</x:v>
      </x:c>
      <x:c r="K117" s="30" t="str">
        <x:v>Employer / Grantee</x:v>
      </x:c>
      <x:c r="L117" s="30" t="str">
        <x:v>MassHire Metro North</x:v>
      </x:c>
      <x:c r="M117" s="30" t="str">
        <x:v>[cite: 28, 29]</x:v>
      </x:c>
      <x:c r="N117" s="30" t="str"/>
      <x:c r="O117" s="87" t="n">
        <x:v>121028</x:v>
      </x:c>
      <x:c r="P117" s="90" t="n">
        <x:v>100</x:v>
      </x:c>
      <x:c r="Q117" s="30" t="str">
        <x:v>17 additional jobs</x:v>
      </x:c>
      <x:c r="R117" s="30" t="str"/>
      <x:c r="S117" s="30" t="str"/>
      <x:c r="T117" s="30" t="str"/>
      <x:c r="U117" s="30" t="str"/>
      <x:c r="V117" s="30" t="str"/>
      <x:c r="W117" s="30" t="str"/>
      <x:c r="X117" s="30" t="str"/>
      <x:c r="Y117" s="30" t="str">
        <x:v>Not Started</x:v>
      </x:c>
      <x:c r="Z117" s="30" t="str">
        <x:v>Gemini export retained its citation label but not the live URL. Recover a source URL during research.</x:v>
      </x:c>
    </x:row>
    <x:row r="118" ht="22" customHeight="1">
      <x:c r="A118" s="30" t="str">
        <x:v>Entrada Therapeutics</x:v>
      </x:c>
      <x:c r="B118" s="30" t="str"/>
      <x:c r="C118" s="30" t="str"/>
      <x:c r="D118" s="30" t="str">
        <x:v>Boston</x:v>
      </x:c>
      <x:c r="E118" s="30" t="str">
        <x:v>MA</x:v>
      </x:c>
      <x:c r="F118" s="30" t="str"/>
      <x:c r="G118" s="30" t="str"/>
      <x:c r="H118" s="93" t="b">
        <x:v>1</x:v>
      </x:c>
      <x:c r="I118" s="30" t="str">
        <x:v>Prospeo</x:v>
      </x:c>
      <x:c r="J118" s="30" t="str">
        <x:v>Gemini.docx</x:v>
      </x:c>
      <x:c r="K118" s="30" t="str">
        <x:v>Employer / Grantee</x:v>
      </x:c>
      <x:c r="L118" s="30" t="str">
        <x:v>MassHire Boston</x:v>
      </x:c>
      <x:c r="M118" s="30" t="str">
        <x:v>[cite: 29, 33]</x:v>
      </x:c>
      <x:c r="N118" s="30" t="str"/>
      <x:c r="O118" s="87" t="n">
        <x:v>33250</x:v>
      </x:c>
      <x:c r="P118" s="90" t="n">
        <x:v>133</x:v>
      </x:c>
      <x:c r="Q118" s="30" t="str">
        <x:v>60 additional jobs</x:v>
      </x:c>
      <x:c r="R118" s="30" t="str"/>
      <x:c r="S118" s="30" t="str"/>
      <x:c r="T118" s="30" t="str"/>
      <x:c r="U118" s="30" t="str"/>
      <x:c r="V118" s="30" t="str"/>
      <x:c r="W118" s="30" t="str"/>
      <x:c r="X118" s="30" t="str"/>
      <x:c r="Y118" s="30" t="str">
        <x:v>Not Started</x:v>
      </x:c>
      <x:c r="Z118" s="30" t="str">
        <x:v>Gemini export retained its citation label but not the live URL. Recover a source URL during research.</x:v>
      </x:c>
    </x:row>
    <x:row r="119" ht="22" customHeight="1">
      <x:c r="A119" s="30" t="str">
        <x:v>Everett's Auto Parts</x:v>
      </x:c>
      <x:c r="B119" s="30" t="str"/>
      <x:c r="C119" s="30" t="str"/>
      <x:c r="D119" s="30" t="str">
        <x:v>Brockton</x:v>
      </x:c>
      <x:c r="E119" s="30" t="str">
        <x:v>MA</x:v>
      </x:c>
      <x:c r="F119" s="30" t="str"/>
      <x:c r="G119" s="30" t="str"/>
      <x:c r="H119" s="93" t="b">
        <x:v>1</x:v>
      </x:c>
      <x:c r="I119" s="30" t="str">
        <x:v>Prospeo</x:v>
      </x:c>
      <x:c r="J119" s="30" t="str">
        <x:v>Gemini.docx</x:v>
      </x:c>
      <x:c r="K119" s="30" t="str">
        <x:v>Employer / Grantee</x:v>
      </x:c>
      <x:c r="L119" s="30" t="str">
        <x:v>MassHire Brockton</x:v>
      </x:c>
      <x:c r="M119" s="30" t="str">
        <x:v>[cite: 56]</x:v>
      </x:c>
      <x:c r="N119" s="30" t="str"/>
      <x:c r="O119" s="87" t="n">
        <x:v>41300</x:v>
      </x:c>
      <x:c r="P119" s="90" t="n">
        <x:v>52</x:v>
      </x:c>
      <x:c r="Q119" s="30" t="str">
        <x:v>15 additional jobs</x:v>
      </x:c>
      <x:c r="R119" s="30" t="str"/>
      <x:c r="S119" s="30" t="str"/>
      <x:c r="T119" s="30" t="str"/>
      <x:c r="U119" s="30" t="str"/>
      <x:c r="V119" s="30" t="str"/>
      <x:c r="W119" s="30" t="str"/>
      <x:c r="X119" s="30" t="str"/>
      <x:c r="Y119" s="30" t="str">
        <x:v>Not Started</x:v>
      </x:c>
      <x:c r="Z119" s="30" t="str">
        <x:v>Gemini export retained its citation label but not the live URL. Recover a source URL during research.</x:v>
      </x:c>
    </x:row>
    <x:row r="120" ht="22" customHeight="1">
      <x:c r="A120" s="30" t="str">
        <x:v>Father Bill's &amp; MainSpring, Inc.</x:v>
      </x:c>
      <x:c r="B120" s="30" t="str"/>
      <x:c r="C120" s="30" t="str"/>
      <x:c r="D120" s="30" t="str">
        <x:v>Brockton</x:v>
      </x:c>
      <x:c r="E120" s="30" t="str">
        <x:v>MA</x:v>
      </x:c>
      <x:c r="F120" s="30" t="str"/>
      <x:c r="G120" s="30" t="str"/>
      <x:c r="H120" s="93" t="b">
        <x:v>1</x:v>
      </x:c>
      <x:c r="I120" s="30" t="str">
        <x:v>Prospeo</x:v>
      </x:c>
      <x:c r="J120" s="30" t="str">
        <x:v>Gemini.docx</x:v>
      </x:c>
      <x:c r="K120" s="30" t="str">
        <x:v>Employer / Grantee</x:v>
      </x:c>
      <x:c r="L120" s="30" t="str">
        <x:v>MassHire Brockton</x:v>
      </x:c>
      <x:c r="M120" s="30" t="str">
        <x:v>[cite: 56]</x:v>
      </x:c>
      <x:c r="N120" s="30" t="str"/>
      <x:c r="O120" s="87" t="n">
        <x:v>73000</x:v>
      </x:c>
      <x:c r="P120" s="90" t="n">
        <x:v>80</x:v>
      </x:c>
      <x:c r="Q120" s="30" t="str">
        <x:v>4 additional jobs</x:v>
      </x:c>
      <x:c r="R120" s="30" t="str"/>
      <x:c r="S120" s="30" t="str"/>
      <x:c r="T120" s="30" t="str"/>
      <x:c r="U120" s="30" t="str"/>
      <x:c r="V120" s="30" t="str"/>
      <x:c r="W120" s="30" t="str"/>
      <x:c r="X120" s="30" t="str"/>
      <x:c r="Y120" s="30" t="str">
        <x:v>Not Started</x:v>
      </x:c>
      <x:c r="Z120" s="30" t="str">
        <x:v>Gemini export retained its citation label but not the live URL. Recover a source URL during research.</x:v>
      </x:c>
    </x:row>
    <x:row r="121" ht="22" customHeight="1">
      <x:c r="A121" s="30" t="str">
        <x:v>Fullers Collision Center</x:v>
      </x:c>
      <x:c r="B121" s="30" t="str"/>
      <x:c r="C121" s="30" t="str"/>
      <x:c r="D121" s="30" t="str">
        <x:v>Auburn</x:v>
      </x:c>
      <x:c r="E121" s="30" t="str">
        <x:v>MA</x:v>
      </x:c>
      <x:c r="F121" s="30" t="str"/>
      <x:c r="G121" s="30" t="str"/>
      <x:c r="H121" s="93" t="b">
        <x:v>1</x:v>
      </x:c>
      <x:c r="I121" s="30" t="str">
        <x:v>Prospeo</x:v>
      </x:c>
      <x:c r="J121" s="30" t="str">
        <x:v>Gemini.docx</x:v>
      </x:c>
      <x:c r="K121" s="30" t="str">
        <x:v>Employer / Grantee</x:v>
      </x:c>
      <x:c r="L121" s="30" t="str">
        <x:v>MassHire Central MA</x:v>
      </x:c>
      <x:c r="M121" s="30" t="str">
        <x:v>[cite: 2, 5]</x:v>
      </x:c>
      <x:c r="N121" s="30" t="str"/>
      <x:c r="O121" s="87" t="n">
        <x:v>51600</x:v>
      </x:c>
      <x:c r="P121" s="90" t="n">
        <x:v>26</x:v>
      </x:c>
      <x:c r="Q121" s="30" t="str">
        <x:v>5 additional jobs</x:v>
      </x:c>
      <x:c r="R121" s="30" t="str"/>
      <x:c r="S121" s="30" t="str"/>
      <x:c r="T121" s="30" t="str"/>
      <x:c r="U121" s="30" t="str"/>
      <x:c r="V121" s="30" t="str"/>
      <x:c r="W121" s="30" t="str"/>
      <x:c r="X121" s="30" t="str"/>
      <x:c r="Y121" s="30" t="str">
        <x:v>Not Started</x:v>
      </x:c>
      <x:c r="Z121" s="30" t="str">
        <x:v>Gemini export retained its citation label but not the live URL. Recover a source URL during research.</x:v>
      </x:c>
    </x:row>
    <x:row r="122" ht="22" customHeight="1">
      <x:c r="A122" s="30" t="str">
        <x:v>Global Interconnect</x:v>
      </x:c>
      <x:c r="B122" s="30" t="str"/>
      <x:c r="C122" s="30" t="str"/>
      <x:c r="D122" s="30" t="str">
        <x:v>Pocasset</x:v>
      </x:c>
      <x:c r="E122" s="30" t="str">
        <x:v>MA</x:v>
      </x:c>
      <x:c r="F122" s="30" t="str"/>
      <x:c r="G122" s="30" t="str"/>
      <x:c r="H122" s="93" t="b">
        <x:v>1</x:v>
      </x:c>
      <x:c r="I122" s="30" t="str">
        <x:v>Prospeo</x:v>
      </x:c>
      <x:c r="J122" s="30" t="str">
        <x:v>Gemini.docx</x:v>
      </x:c>
      <x:c r="K122" s="30" t="str">
        <x:v>Employer / Grantee</x:v>
      </x:c>
      <x:c r="L122" s="30" t="str">
        <x:v>MassHire Cape &amp; Islands</x:v>
      </x:c>
      <x:c r="M122" s="30" t="str">
        <x:v>[cite: 2, 5]</x:v>
      </x:c>
      <x:c r="N122" s="30" t="str"/>
      <x:c r="O122" s="87" t="n">
        <x:v>45600</x:v>
      </x:c>
      <x:c r="P122" s="90" t="n">
        <x:v>18</x:v>
      </x:c>
      <x:c r="Q122" s="30" t="str">
        <x:v>3 additional jobs</x:v>
      </x:c>
      <x:c r="R122" s="30" t="str"/>
      <x:c r="S122" s="30" t="str"/>
      <x:c r="T122" s="30" t="str"/>
      <x:c r="U122" s="30" t="str"/>
      <x:c r="V122" s="30" t="str"/>
      <x:c r="W122" s="30" t="str"/>
      <x:c r="X122" s="30" t="str"/>
      <x:c r="Y122" s="30" t="str">
        <x:v>Not Started</x:v>
      </x:c>
      <x:c r="Z122" s="30" t="str">
        <x:v>Gemini export retained its citation label but not the live URL. Recover a source URL during research.</x:v>
      </x:c>
    </x:row>
    <x:row r="123" ht="22" customHeight="1">
      <x:c r="A123" s="30" t="str">
        <x:v>GreatHorse LLC</x:v>
      </x:c>
      <x:c r="B123" s="30" t="str"/>
      <x:c r="C123" s="30" t="str"/>
      <x:c r="D123" s="30" t="str">
        <x:v>Hampden</x:v>
      </x:c>
      <x:c r="E123" s="30" t="str">
        <x:v>MA</x:v>
      </x:c>
      <x:c r="F123" s="30" t="str"/>
      <x:c r="G123" s="30" t="str"/>
      <x:c r="H123" s="93" t="b">
        <x:v>1</x:v>
      </x:c>
      <x:c r="I123" s="30" t="str">
        <x:v>Prospeo</x:v>
      </x:c>
      <x:c r="J123" s="30" t="str">
        <x:v>Gemini.docx</x:v>
      </x:c>
      <x:c r="K123" s="30" t="str">
        <x:v>Employer / Grantee</x:v>
      </x:c>
      <x:c r="L123" s="30" t="str">
        <x:v>MassHire Hampden</x:v>
      </x:c>
      <x:c r="M123" s="30" t="str">
        <x:v>[cite: 56]</x:v>
      </x:c>
      <x:c r="N123" s="30" t="str"/>
      <x:c r="O123" s="87" t="n">
        <x:v>62215</x:v>
      </x:c>
      <x:c r="P123" s="90" t="n">
        <x:v>48</x:v>
      </x:c>
      <x:c r="Q123" s="30" t="str">
        <x:v>10 additional jobs</x:v>
      </x:c>
      <x:c r="R123" s="30" t="str"/>
      <x:c r="S123" s="30" t="str"/>
      <x:c r="T123" s="30" t="str"/>
      <x:c r="U123" s="30" t="str"/>
      <x:c r="V123" s="30" t="str"/>
      <x:c r="W123" s="30" t="str"/>
      <x:c r="X123" s="30" t="str"/>
      <x:c r="Y123" s="30" t="str">
        <x:v>Not Started</x:v>
      </x:c>
      <x:c r="Z123" s="30" t="str">
        <x:v>Gemini export retained its citation label but not the live URL. Recover a source URL during research.</x:v>
      </x:c>
    </x:row>
    <x:row r="124" ht="22" customHeight="1">
      <x:c r="A124" s="30" t="str">
        <x:v>Harpak-ULMA Packaging</x:v>
      </x:c>
      <x:c r="B124" s="30" t="str"/>
      <x:c r="C124" s="30" t="str"/>
      <x:c r="D124" s="30" t="str">
        <x:v>Taunton</x:v>
      </x:c>
      <x:c r="E124" s="30" t="str">
        <x:v>MA</x:v>
      </x:c>
      <x:c r="F124" s="30" t="str"/>
      <x:c r="G124" s="30" t="str"/>
      <x:c r="H124" s="93" t="b">
        <x:v>1</x:v>
      </x:c>
      <x:c r="I124" s="30" t="str">
        <x:v>Prospeo</x:v>
      </x:c>
      <x:c r="J124" s="30" t="str">
        <x:v>Gemini.docx</x:v>
      </x:c>
      <x:c r="K124" s="30" t="str">
        <x:v>Employer / Grantee</x:v>
      </x:c>
      <x:c r="L124" s="30" t="str">
        <x:v>MassHire Bristol County</x:v>
      </x:c>
      <x:c r="M124" s="30" t="str">
        <x:v>[cite: 2, 5]</x:v>
      </x:c>
      <x:c r="N124" s="30" t="str"/>
      <x:c r="O124" s="87" t="n">
        <x:v>34800</x:v>
      </x:c>
      <x:c r="P124" s="90" t="n">
        <x:v>18</x:v>
      </x:c>
      <x:c r="Q124" s="30" t="str">
        <x:v>10 additional jobs</x:v>
      </x:c>
      <x:c r="R124" s="30" t="str"/>
      <x:c r="S124" s="30" t="str"/>
      <x:c r="T124" s="30" t="str"/>
      <x:c r="U124" s="30" t="str"/>
      <x:c r="V124" s="30" t="str"/>
      <x:c r="W124" s="30" t="str"/>
      <x:c r="X124" s="30" t="str"/>
      <x:c r="Y124" s="30" t="str">
        <x:v>Not Started</x:v>
      </x:c>
      <x:c r="Z124" s="30" t="str">
        <x:v>Gemini export retained its citation label but not the live URL. Recover a source URL during research.</x:v>
      </x:c>
    </x:row>
    <x:row r="125" ht="22" customHeight="1">
      <x:c r="A125" s="30" t="str">
        <x:v>Headwall Photonics</x:v>
      </x:c>
      <x:c r="B125" s="30" t="str"/>
      <x:c r="C125" s="30" t="str"/>
      <x:c r="D125" s="30" t="str">
        <x:v>Bolton</x:v>
      </x:c>
      <x:c r="E125" s="30" t="str">
        <x:v>MA</x:v>
      </x:c>
      <x:c r="F125" s="30" t="str"/>
      <x:c r="G125" s="30" t="str"/>
      <x:c r="H125" s="93" t="b">
        <x:v>1</x:v>
      </x:c>
      <x:c r="I125" s="30" t="str">
        <x:v>Prospeo</x:v>
      </x:c>
      <x:c r="J125" s="30" t="str">
        <x:v>Gemini.docx</x:v>
      </x:c>
      <x:c r="K125" s="30" t="str">
        <x:v>Employer / Grantee</x:v>
      </x:c>
      <x:c r="L125" s="30" t="str">
        <x:v>MassHire Central MA</x:v>
      </x:c>
      <x:c r="M125" s="30" t="str">
        <x:v>[cite: 29, 33]</x:v>
      </x:c>
      <x:c r="N125" s="30" t="str"/>
      <x:c r="O125" s="87" t="n">
        <x:v>98150</x:v>
      </x:c>
      <x:c r="P125" s="90" t="n">
        <x:v>19</x:v>
      </x:c>
      <x:c r="Q125" s="30" t="str">
        <x:v>6 additional jobs</x:v>
      </x:c>
      <x:c r="R125" s="30" t="str"/>
      <x:c r="S125" s="30" t="str"/>
      <x:c r="T125" s="30" t="str"/>
      <x:c r="U125" s="30" t="str"/>
      <x:c r="V125" s="30" t="str"/>
      <x:c r="W125" s="30" t="str"/>
      <x:c r="X125" s="30" t="str"/>
      <x:c r="Y125" s="30" t="str">
        <x:v>Not Started</x:v>
      </x:c>
      <x:c r="Z125" s="30" t="str">
        <x:v>Gemini export retained its citation label but not the live URL. Recover a source URL during research.</x:v>
      </x:c>
    </x:row>
    <x:row r="126" ht="22" customHeight="1">
      <x:c r="A126" s="30" t="str">
        <x:v>Hogan Technology, Inc.</x:v>
      </x:c>
      <x:c r="B126" s="30" t="str"/>
      <x:c r="C126" s="30" t="str"/>
      <x:c r="D126" s="30" t="str">
        <x:v>Easthampton</x:v>
      </x:c>
      <x:c r="E126" s="30" t="str">
        <x:v>MA</x:v>
      </x:c>
      <x:c r="F126" s="30" t="str"/>
      <x:c r="G126" s="30" t="str"/>
      <x:c r="H126" s="93" t="b">
        <x:v>1</x:v>
      </x:c>
      <x:c r="I126" s="30" t="str">
        <x:v>Prospeo</x:v>
      </x:c>
      <x:c r="J126" s="30" t="str">
        <x:v>Gemini.docx</x:v>
      </x:c>
      <x:c r="K126" s="30" t="str">
        <x:v>Employer / Grantee</x:v>
      </x:c>
      <x:c r="L126" s="30" t="str">
        <x:v>MassHire Hampden</x:v>
      </x:c>
      <x:c r="M126" s="30" t="str">
        <x:v>[cite: 56]</x:v>
      </x:c>
      <x:c r="N126" s="30" t="str"/>
      <x:c r="O126" s="87" t="n">
        <x:v>26497</x:v>
      </x:c>
      <x:c r="P126" s="90" t="n">
        <x:v>9</x:v>
      </x:c>
      <x:c r="Q126" s="30" t="str">
        <x:v>1 additional job</x:v>
      </x:c>
      <x:c r="R126" s="30" t="str"/>
      <x:c r="S126" s="30" t="str"/>
      <x:c r="T126" s="30" t="str"/>
      <x:c r="U126" s="30" t="str"/>
      <x:c r="V126" s="30" t="str"/>
      <x:c r="W126" s="30" t="str"/>
      <x:c r="X126" s="30" t="str"/>
      <x:c r="Y126" s="30" t="str">
        <x:v>Not Started</x:v>
      </x:c>
      <x:c r="Z126" s="30" t="str">
        <x:v>Gemini export retained its citation label but not the live URL. Recover a source URL during research.</x:v>
      </x:c>
    </x:row>
    <x:row r="127" ht="22" customHeight="1">
      <x:c r="A127" s="30" t="str">
        <x:v>Hojoko</x:v>
      </x:c>
      <x:c r="B127" s="30" t="str"/>
      <x:c r="C127" s="30" t="str"/>
      <x:c r="D127" s="30" t="str">
        <x:v>Boston</x:v>
      </x:c>
      <x:c r="E127" s="30" t="str">
        <x:v>MA</x:v>
      </x:c>
      <x:c r="F127" s="30" t="str"/>
      <x:c r="G127" s="30" t="str"/>
      <x:c r="H127" s="93" t="b">
        <x:v>1</x:v>
      </x:c>
      <x:c r="I127" s="30" t="str">
        <x:v>Prospeo</x:v>
      </x:c>
      <x:c r="J127" s="30" t="str">
        <x:v>Gemini.docx</x:v>
      </x:c>
      <x:c r="K127" s="30" t="str">
        <x:v>Employer / Grantee</x:v>
      </x:c>
      <x:c r="L127" s="30" t="str">
        <x:v>MassHire Boston</x:v>
      </x:c>
      <x:c r="M127" s="30" t="str">
        <x:v>[cite: 2, 7]</x:v>
      </x:c>
      <x:c r="N127" s="30" t="str"/>
      <x:c r="O127" s="87" t="n">
        <x:v>52800</x:v>
      </x:c>
      <x:c r="P127" s="90" t="n">
        <x:v>13</x:v>
      </x:c>
      <x:c r="Q127" s="30" t="str">
        <x:v>7 additional jobs</x:v>
      </x:c>
      <x:c r="R127" s="30" t="str"/>
      <x:c r="S127" s="30" t="str"/>
      <x:c r="T127" s="30" t="str"/>
      <x:c r="U127" s="30" t="str"/>
      <x:c r="V127" s="30" t="str"/>
      <x:c r="W127" s="30" t="str"/>
      <x:c r="X127" s="30" t="str"/>
      <x:c r="Y127" s="30" t="str">
        <x:v>Not Started</x:v>
      </x:c>
      <x:c r="Z127" s="30" t="str">
        <x:v>Gemini export retained its citation label but not the live URL. Recover a source URL during research.</x:v>
      </x:c>
    </x:row>
    <x:row r="128" ht="22" customHeight="1">
      <x:c r="A128" s="30" t="str">
        <x:v>Holt &amp; Bugbee</x:v>
      </x:c>
      <x:c r="B128" s="30" t="str"/>
      <x:c r="C128" s="30" t="str"/>
      <x:c r="D128" s="30" t="str">
        <x:v>Tewksbury</x:v>
      </x:c>
      <x:c r="E128" s="30" t="str">
        <x:v>MA</x:v>
      </x:c>
      <x:c r="F128" s="30" t="str"/>
      <x:c r="G128" s="30" t="str"/>
      <x:c r="H128" s="93" t="b">
        <x:v>1</x:v>
      </x:c>
      <x:c r="I128" s="30" t="str">
        <x:v>Prospeo</x:v>
      </x:c>
      <x:c r="J128" s="30" t="str">
        <x:v>Gemini.docx</x:v>
      </x:c>
      <x:c r="K128" s="30" t="str">
        <x:v>Employer / Grantee</x:v>
      </x:c>
      <x:c r="L128" s="30" t="str">
        <x:v>MassHire Greater Lowell</x:v>
      </x:c>
      <x:c r="M128" s="30" t="str">
        <x:v>[cite: 27]</x:v>
      </x:c>
      <x:c r="N128" s="30" t="str"/>
      <x:c r="O128" s="87" t="n">
        <x:v>88800</x:v>
      </x:c>
      <x:c r="P128" s="90" t="n">
        <x:v>88</x:v>
      </x:c>
      <x:c r="Q128" s="30" t="str">
        <x:v>None listed</x:v>
      </x:c>
      <x:c r="R128" s="30" t="str"/>
      <x:c r="S128" s="30" t="str"/>
      <x:c r="T128" s="30" t="str"/>
      <x:c r="U128" s="30" t="str"/>
      <x:c r="V128" s="30" t="str"/>
      <x:c r="W128" s="30" t="str"/>
      <x:c r="X128" s="30" t="str"/>
      <x:c r="Y128" s="30" t="str">
        <x:v>Not Started</x:v>
      </x:c>
      <x:c r="Z128" s="30" t="str">
        <x:v>Gemini export retained its citation label but not the live URL. Recover a source URL during research.</x:v>
      </x:c>
    </x:row>
    <x:row r="129" ht="22" customHeight="1">
      <x:c r="A129" s="30" t="str">
        <x:v>Homes For Our Troops</x:v>
      </x:c>
      <x:c r="B129" s="30" t="str"/>
      <x:c r="C129" s="30" t="str"/>
      <x:c r="D129" s="30" t="str">
        <x:v>Taunton</x:v>
      </x:c>
      <x:c r="E129" s="30" t="str">
        <x:v>MA</x:v>
      </x:c>
      <x:c r="F129" s="30" t="str"/>
      <x:c r="G129" s="30" t="str"/>
      <x:c r="H129" s="93" t="b">
        <x:v>1</x:v>
      </x:c>
      <x:c r="I129" s="30" t="str">
        <x:v>Prospeo</x:v>
      </x:c>
      <x:c r="J129" s="30" t="str">
        <x:v>Gemini.docx</x:v>
      </x:c>
      <x:c r="K129" s="30" t="str">
        <x:v>Employer / Grantee</x:v>
      </x:c>
      <x:c r="L129" s="30" t="str">
        <x:v>MassHire Bristol County</x:v>
      </x:c>
      <x:c r="M129" s="30" t="str">
        <x:v>[cite: 2, 5]</x:v>
      </x:c>
      <x:c r="N129" s="30" t="str"/>
      <x:c r="O129" s="87" t="n">
        <x:v>95400</x:v>
      </x:c>
      <x:c r="P129" s="90" t="n">
        <x:v>74</x:v>
      </x:c>
      <x:c r="Q129" s="30" t="str">
        <x:v>2 additional jobs</x:v>
      </x:c>
      <x:c r="R129" s="30" t="str"/>
      <x:c r="S129" s="30" t="str"/>
      <x:c r="T129" s="30" t="str"/>
      <x:c r="U129" s="30" t="str"/>
      <x:c r="V129" s="30" t="str"/>
      <x:c r="W129" s="30" t="str"/>
      <x:c r="X129" s="30" t="str"/>
      <x:c r="Y129" s="30" t="str">
        <x:v>Not Started</x:v>
      </x:c>
      <x:c r="Z129" s="30" t="str">
        <x:v>Gemini export retained its citation label but not the live URL. Recover a source URL during research.</x:v>
      </x:c>
    </x:row>
    <x:row r="130" ht="22" customHeight="1">
      <x:c r="A130" s="30" t="str">
        <x:v>Howes Temco</x:v>
      </x:c>
      <x:c r="B130" s="30" t="str"/>
      <x:c r="C130" s="30" t="str"/>
      <x:c r="D130" s="30" t="str">
        <x:v>Attleboro</x:v>
      </x:c>
      <x:c r="E130" s="30" t="str">
        <x:v>MA</x:v>
      </x:c>
      <x:c r="F130" s="30" t="str"/>
      <x:c r="G130" s="30" t="str"/>
      <x:c r="H130" s="93" t="b">
        <x:v>1</x:v>
      </x:c>
      <x:c r="I130" s="30" t="str">
        <x:v>Prospeo</x:v>
      </x:c>
      <x:c r="J130" s="30" t="str">
        <x:v>Gemini.docx</x:v>
      </x:c>
      <x:c r="K130" s="30" t="str">
        <x:v>Employer / Grantee</x:v>
      </x:c>
      <x:c r="L130" s="30" t="str">
        <x:v>MassHire Bristol County</x:v>
      </x:c>
      <x:c r="M130" s="30" t="str">
        <x:v>[cite: 2, 5]</x:v>
      </x:c>
      <x:c r="N130" s="30" t="str"/>
      <x:c r="O130" s="87" t="n">
        <x:v>52500</x:v>
      </x:c>
      <x:c r="P130" s="90" t="n">
        <x:v>32</x:v>
      </x:c>
      <x:c r="Q130" s="30" t="str">
        <x:v>8 additional jobs</x:v>
      </x:c>
      <x:c r="R130" s="30" t="str"/>
      <x:c r="S130" s="30" t="str"/>
      <x:c r="T130" s="30" t="str"/>
      <x:c r="U130" s="30" t="str"/>
      <x:c r="V130" s="30" t="str"/>
      <x:c r="W130" s="30" t="str"/>
      <x:c r="X130" s="30" t="str"/>
      <x:c r="Y130" s="30" t="str">
        <x:v>Not Started</x:v>
      </x:c>
      <x:c r="Z130" s="30" t="str">
        <x:v>Gemini export retained its citation label but not the live URL. Recover a source URL during research.</x:v>
      </x:c>
    </x:row>
    <x:row r="131" ht="22" customHeight="1">
      <x:c r="A131" s="30" t="str">
        <x:v>Human Systems Integration, Inc.</x:v>
      </x:c>
      <x:c r="B131" s="30" t="str"/>
      <x:c r="C131" s="30" t="str"/>
      <x:c r="D131" s="30" t="str">
        <x:v>East Walpole</x:v>
      </x:c>
      <x:c r="E131" s="30" t="str">
        <x:v>MA</x:v>
      </x:c>
      <x:c r="F131" s="30" t="str"/>
      <x:c r="G131" s="30" t="str"/>
      <x:c r="H131" s="93" t="b">
        <x:v>1</x:v>
      </x:c>
      <x:c r="I131" s="30" t="str">
        <x:v>Skrapp</x:v>
      </x:c>
      <x:c r="J131" s="30" t="str">
        <x:v>Gemini.docx</x:v>
      </x:c>
      <x:c r="K131" s="30" t="str">
        <x:v>Employer / Grantee</x:v>
      </x:c>
      <x:c r="L131" s="30" t="str">
        <x:v>MassHire Metro South/West</x:v>
      </x:c>
      <x:c r="M131" s="30" t="str">
        <x:v>[cite: 56]</x:v>
      </x:c>
      <x:c r="N131" s="30" t="str"/>
      <x:c r="O131" s="87" t="n">
        <x:v>129750</x:v>
      </x:c>
      <x:c r="P131" s="90" t="n">
        <x:v>15</x:v>
      </x:c>
      <x:c r="Q131" s="30" t="str">
        <x:v>6 additional jobs</x:v>
      </x:c>
      <x:c r="R131" s="30" t="str"/>
      <x:c r="S131" s="30" t="str"/>
      <x:c r="T131" s="30" t="str"/>
      <x:c r="U131" s="30" t="str"/>
      <x:c r="V131" s="30" t="str"/>
      <x:c r="W131" s="30" t="str"/>
      <x:c r="X131" s="30" t="str"/>
      <x:c r="Y131" s="30" t="str">
        <x:v>Not Started</x:v>
      </x:c>
      <x:c r="Z131" s="30" t="str">
        <x:v>Gemini export retained its citation label but not the live URL. Recover a source URL during research.</x:v>
      </x:c>
    </x:row>
    <x:row r="132" ht="22" customHeight="1">
      <x:c r="A132" s="30" t="str">
        <x:v>iCorps Technologies</x:v>
      </x:c>
      <x:c r="B132" s="30" t="str"/>
      <x:c r="C132" s="30" t="str"/>
      <x:c r="D132" s="30" t="str">
        <x:v>Boston</x:v>
      </x:c>
      <x:c r="E132" s="30" t="str">
        <x:v>MA</x:v>
      </x:c>
      <x:c r="F132" s="30" t="str"/>
      <x:c r="G132" s="30" t="str"/>
      <x:c r="H132" s="93" t="b">
        <x:v>1</x:v>
      </x:c>
      <x:c r="I132" s="30" t="str">
        <x:v>Skrapp</x:v>
      </x:c>
      <x:c r="J132" s="30" t="str">
        <x:v>Gemini.docx</x:v>
      </x:c>
      <x:c r="K132" s="30" t="str">
        <x:v>Employer / Grantee</x:v>
      </x:c>
      <x:c r="L132" s="30" t="str">
        <x:v>MassHire Boston</x:v>
      </x:c>
      <x:c r="M132" s="30" t="str">
        <x:v>[cite: 56]</x:v>
      </x:c>
      <x:c r="N132" s="30" t="str"/>
      <x:c r="O132" s="87" t="n">
        <x:v>116936</x:v>
      </x:c>
      <x:c r="P132" s="90" t="n">
        <x:v>48</x:v>
      </x:c>
      <x:c r="Q132" s="30" t="str">
        <x:v>5 additional jobs</x:v>
      </x:c>
      <x:c r="R132" s="30" t="str"/>
      <x:c r="S132" s="30" t="str"/>
      <x:c r="T132" s="30" t="str"/>
      <x:c r="U132" s="30" t="str"/>
      <x:c r="V132" s="30" t="str"/>
      <x:c r="W132" s="30" t="str"/>
      <x:c r="X132" s="30" t="str"/>
      <x:c r="Y132" s="30" t="str">
        <x:v>Not Started</x:v>
      </x:c>
      <x:c r="Z132" s="30" t="str">
        <x:v>Gemini export retained its citation label but not the live URL. Recover a source URL during research.</x:v>
      </x:c>
    </x:row>
    <x:row r="133" ht="22" customHeight="1">
      <x:c r="A133" s="30" t="str">
        <x:v>Interprint</x:v>
      </x:c>
      <x:c r="B133" s="30" t="str"/>
      <x:c r="C133" s="30" t="str"/>
      <x:c r="D133" s="30" t="str">
        <x:v>Pittsfield</x:v>
      </x:c>
      <x:c r="E133" s="30" t="str">
        <x:v>MA</x:v>
      </x:c>
      <x:c r="F133" s="30" t="str"/>
      <x:c r="G133" s="30" t="str"/>
      <x:c r="H133" s="93" t="b">
        <x:v>1</x:v>
      </x:c>
      <x:c r="I133" s="30" t="str">
        <x:v>Skrapp</x:v>
      </x:c>
      <x:c r="J133" s="30" t="str">
        <x:v>Gemini.docx</x:v>
      </x:c>
      <x:c r="K133" s="30" t="str">
        <x:v>Employer / Grantee</x:v>
      </x:c>
      <x:c r="L133" s="30" t="str">
        <x:v>MassHire Berkshires</x:v>
      </x:c>
      <x:c r="M133" s="30" t="str">
        <x:v>[cite: 28, 29]</x:v>
      </x:c>
      <x:c r="N133" s="30" t="str"/>
      <x:c r="O133" s="87" t="n">
        <x:v>163900</x:v>
      </x:c>
      <x:c r="P133" s="90" t="n">
        <x:v>171</x:v>
      </x:c>
      <x:c r="Q133" s="30" t="str">
        <x:v>50 additional jobs</x:v>
      </x:c>
      <x:c r="R133" s="30" t="str"/>
      <x:c r="S133" s="30" t="str"/>
      <x:c r="T133" s="30" t="str"/>
      <x:c r="U133" s="30" t="str"/>
      <x:c r="V133" s="30" t="str"/>
      <x:c r="W133" s="30" t="str"/>
      <x:c r="X133" s="30" t="str"/>
      <x:c r="Y133" s="30" t="str">
        <x:v>Not Started</x:v>
      </x:c>
      <x:c r="Z133" s="30" t="str">
        <x:v>Gemini export retained its citation label but not the live URL. Recover a source URL during research.</x:v>
      </x:c>
    </x:row>
    <x:row r="134" ht="22" customHeight="1">
      <x:c r="A134" s="30" t="str">
        <x:v>Ironclad Services</x:v>
      </x:c>
      <x:c r="B134" s="30" t="str"/>
      <x:c r="C134" s="30" t="str"/>
      <x:c r="D134" s="30" t="str">
        <x:v>Springfield</x:v>
      </x:c>
      <x:c r="E134" s="30" t="str">
        <x:v>MA</x:v>
      </x:c>
      <x:c r="F134" s="30" t="str"/>
      <x:c r="G134" s="30" t="str"/>
      <x:c r="H134" s="93" t="b">
        <x:v>1</x:v>
      </x:c>
      <x:c r="I134" s="30" t="str">
        <x:v>Skrapp</x:v>
      </x:c>
      <x:c r="J134" s="30" t="str">
        <x:v>Gemini.docx</x:v>
      </x:c>
      <x:c r="K134" s="30" t="str">
        <x:v>Employer / Grantee</x:v>
      </x:c>
      <x:c r="L134" s="30" t="str">
        <x:v>MassHire Hampden</x:v>
      </x:c>
      <x:c r="M134" s="30" t="str">
        <x:v>[cite: 27]</x:v>
      </x:c>
      <x:c r="N134" s="30" t="str"/>
      <x:c r="O134" s="87" t="n">
        <x:v>13360</x:v>
      </x:c>
      <x:c r="P134" s="90" t="n">
        <x:v>20</x:v>
      </x:c>
      <x:c r="Q134" s="30" t="str">
        <x:v>None listed</x:v>
      </x:c>
      <x:c r="R134" s="30" t="str"/>
      <x:c r="S134" s="30" t="str"/>
      <x:c r="T134" s="30" t="str"/>
      <x:c r="U134" s="30" t="str"/>
      <x:c r="V134" s="30" t="str"/>
      <x:c r="W134" s="30" t="str"/>
      <x:c r="X134" s="30" t="str"/>
      <x:c r="Y134" s="30" t="str">
        <x:v>Not Started</x:v>
      </x:c>
      <x:c r="Z134" s="30" t="str">
        <x:v>Gemini export retained its citation label but not the live URL. Recover a source URL during research.</x:v>
      </x:c>
    </x:row>
    <x:row r="135" ht="22" customHeight="1">
      <x:c r="A135" s="30" t="str">
        <x:v>ISlide</x:v>
      </x:c>
      <x:c r="B135" s="30" t="str"/>
      <x:c r="C135" s="30" t="str"/>
      <x:c r="D135" s="30" t="str">
        <x:v>Boston</x:v>
      </x:c>
      <x:c r="E135" s="30" t="str">
        <x:v>MA</x:v>
      </x:c>
      <x:c r="F135" s="30" t="str"/>
      <x:c r="G135" s="30" t="str"/>
      <x:c r="H135" s="93" t="b">
        <x:v>1</x:v>
      </x:c>
      <x:c r="I135" s="30" t="str">
        <x:v>Skrapp</x:v>
      </x:c>
      <x:c r="J135" s="30" t="str">
        <x:v>Gemini.docx</x:v>
      </x:c>
      <x:c r="K135" s="30" t="str">
        <x:v>Employer / Grantee</x:v>
      </x:c>
      <x:c r="L135" s="30" t="str">
        <x:v>MassHire Boston</x:v>
      </x:c>
      <x:c r="M135" s="30" t="str">
        <x:v>[cite: 2, 5]</x:v>
      </x:c>
      <x:c r="N135" s="30" t="str"/>
      <x:c r="O135" s="87" t="n">
        <x:v>30000</x:v>
      </x:c>
      <x:c r="P135" s="90" t="n">
        <x:v>10</x:v>
      </x:c>
      <x:c r="Q135" s="30" t="str">
        <x:v>4 additional jobs</x:v>
      </x:c>
      <x:c r="R135" s="30" t="str"/>
      <x:c r="S135" s="30" t="str"/>
      <x:c r="T135" s="30" t="str"/>
      <x:c r="U135" s="30" t="str"/>
      <x:c r="V135" s="30" t="str"/>
      <x:c r="W135" s="30" t="str"/>
      <x:c r="X135" s="30" t="str"/>
      <x:c r="Y135" s="30" t="str">
        <x:v>Not Started</x:v>
      </x:c>
      <x:c r="Z135" s="30" t="str">
        <x:v>Gemini export retained its citation label but not the live URL. Recover a source URL during research.</x:v>
      </x:c>
    </x:row>
    <x:row r="136" ht="22" customHeight="1">
      <x:c r="A136" s="30" t="str">
        <x:v>Jefferson Rubber Works</x:v>
      </x:c>
      <x:c r="B136" s="30" t="str"/>
      <x:c r="C136" s="30" t="str"/>
      <x:c r="D136" s="30" t="str">
        <x:v>Worcester</x:v>
      </x:c>
      <x:c r="E136" s="30" t="str">
        <x:v>MA</x:v>
      </x:c>
      <x:c r="F136" s="30" t="str"/>
      <x:c r="G136" s="30" t="str"/>
      <x:c r="H136" s="93" t="b">
        <x:v>1</x:v>
      </x:c>
      <x:c r="I136" s="30" t="str">
        <x:v>Skrapp</x:v>
      </x:c>
      <x:c r="J136" s="30" t="str">
        <x:v>Gemini.docx</x:v>
      </x:c>
      <x:c r="K136" s="30" t="str">
        <x:v>Employer / Grantee</x:v>
      </x:c>
      <x:c r="L136" s="30" t="str">
        <x:v>MassHire Central MA</x:v>
      </x:c>
      <x:c r="M136" s="30" t="str">
        <x:v>[cite: 27]</x:v>
      </x:c>
      <x:c r="N136" s="30" t="str"/>
      <x:c r="O136" s="87" t="n">
        <x:v>102700</x:v>
      </x:c>
      <x:c r="P136" s="90" t="n">
        <x:v>20</x:v>
      </x:c>
      <x:c r="Q136" s="30" t="str">
        <x:v>3 additional jobs</x:v>
      </x:c>
      <x:c r="R136" s="30" t="str"/>
      <x:c r="S136" s="30" t="str"/>
      <x:c r="T136" s="30" t="str"/>
      <x:c r="U136" s="30" t="str"/>
      <x:c r="V136" s="30" t="str"/>
      <x:c r="W136" s="30" t="str"/>
      <x:c r="X136" s="30" t="str"/>
      <x:c r="Y136" s="30" t="str">
        <x:v>Not Started</x:v>
      </x:c>
      <x:c r="Z136" s="30" t="str">
        <x:v>Gemini export retained its citation label but not the live URL. Recover a source URL during research.</x:v>
      </x:c>
    </x:row>
    <x:row r="137" ht="22" customHeight="1">
      <x:c r="A137" s="30" t="str">
        <x:v>Jeffco Fibres</x:v>
      </x:c>
      <x:c r="B137" s="30" t="str"/>
      <x:c r="C137" s="30" t="str"/>
      <x:c r="D137" s="30" t="str">
        <x:v>Webster</x:v>
      </x:c>
      <x:c r="E137" s="30" t="str">
        <x:v>MA</x:v>
      </x:c>
      <x:c r="F137" s="30" t="str"/>
      <x:c r="G137" s="30" t="str"/>
      <x:c r="H137" s="93" t="b">
        <x:v>1</x:v>
      </x:c>
      <x:c r="I137" s="30" t="str">
        <x:v>Skrapp</x:v>
      </x:c>
      <x:c r="J137" s="30" t="str">
        <x:v>Gemini.docx</x:v>
      </x:c>
      <x:c r="K137" s="30" t="str">
        <x:v>Employer / Grantee</x:v>
      </x:c>
      <x:c r="L137" s="30" t="str">
        <x:v>MassHire Central MA</x:v>
      </x:c>
      <x:c r="M137" s="30" t="str">
        <x:v>[cite: 29]</x:v>
      </x:c>
      <x:c r="N137" s="30" t="str"/>
      <x:c r="O137" s="87" t="n">
        <x:v>211050</x:v>
      </x:c>
      <x:c r="P137" s="90" t="n">
        <x:v>168</x:v>
      </x:c>
      <x:c r="Q137" s="30" t="str">
        <x:v>5 additional jobs</x:v>
      </x:c>
      <x:c r="R137" s="30" t="str"/>
      <x:c r="S137" s="30" t="str"/>
      <x:c r="T137" s="30" t="str"/>
      <x:c r="U137" s="30" t="str"/>
      <x:c r="V137" s="30" t="str"/>
      <x:c r="W137" s="30" t="str"/>
      <x:c r="X137" s="30" t="str"/>
      <x:c r="Y137" s="30" t="str">
        <x:v>Not Started</x:v>
      </x:c>
      <x:c r="Z137" s="30" t="str">
        <x:v>Gemini export retained its citation label but not the live URL. Recover a source URL during research.</x:v>
      </x:c>
    </x:row>
    <x:row r="138" ht="22" customHeight="1">
      <x:c r="A138" s="30" t="str">
        <x:v>JEM Electronics, Inc.</x:v>
      </x:c>
      <x:c r="B138" s="30" t="str"/>
      <x:c r="C138" s="30" t="str"/>
      <x:c r="D138" s="30" t="str">
        <x:v>Worcester</x:v>
      </x:c>
      <x:c r="E138" s="30" t="str">
        <x:v>MA</x:v>
      </x:c>
      <x:c r="F138" s="30" t="str"/>
      <x:c r="G138" s="30" t="str"/>
      <x:c r="H138" s="93" t="b">
        <x:v>1</x:v>
      </x:c>
      <x:c r="I138" s="30" t="str">
        <x:v>Skrapp</x:v>
      </x:c>
      <x:c r="J138" s="30" t="str">
        <x:v>Gemini.docx</x:v>
      </x:c>
      <x:c r="K138" s="30" t="str">
        <x:v>Employer / Grantee</x:v>
      </x:c>
      <x:c r="L138" s="30" t="str">
        <x:v>MassHire Central MA</x:v>
      </x:c>
      <x:c r="M138" s="30" t="str">
        <x:v>[cite: 56]</x:v>
      </x:c>
      <x:c r="N138" s="30" t="str"/>
      <x:c r="O138" s="87" t="n">
        <x:v>122900</x:v>
      </x:c>
      <x:c r="P138" s="90" t="n">
        <x:v>53</x:v>
      </x:c>
      <x:c r="Q138" s="30" t="str">
        <x:v>10 additional jobs</x:v>
      </x:c>
      <x:c r="R138" s="30" t="str"/>
      <x:c r="S138" s="30" t="str"/>
      <x:c r="T138" s="30" t="str"/>
      <x:c r="U138" s="30" t="str"/>
      <x:c r="V138" s="30" t="str"/>
      <x:c r="W138" s="30" t="str"/>
      <x:c r="X138" s="30" t="str"/>
      <x:c r="Y138" s="30" t="str">
        <x:v>Not Started</x:v>
      </x:c>
      <x:c r="Z138" s="30" t="str">
        <x:v>Gemini export retained its citation label but not the live URL. Recover a source URL during research.</x:v>
      </x:c>
    </x:row>
    <x:row r="139" ht="22" customHeight="1">
      <x:c r="A139" s="30" t="str">
        <x:v>Jordan's Furniture</x:v>
      </x:c>
      <x:c r="B139" s="30" t="str"/>
      <x:c r="C139" s="30" t="str"/>
      <x:c r="D139" s="30" t="str">
        <x:v>Taunton</x:v>
      </x:c>
      <x:c r="E139" s="30" t="str">
        <x:v>MA</x:v>
      </x:c>
      <x:c r="F139" s="30" t="str"/>
      <x:c r="G139" s="30" t="str"/>
      <x:c r="H139" s="93" t="b">
        <x:v>1</x:v>
      </x:c>
      <x:c r="I139" s="30" t="str">
        <x:v>Skrapp</x:v>
      </x:c>
      <x:c r="J139" s="30" t="str">
        <x:v>Gemini.docx</x:v>
      </x:c>
      <x:c r="K139" s="30" t="str">
        <x:v>Employer / Grantee</x:v>
      </x:c>
      <x:c r="L139" s="30" t="str">
        <x:v>MassHire Bristol County</x:v>
      </x:c>
      <x:c r="M139" s="30" t="str">
        <x:v>[cite: 2, 5]</x:v>
      </x:c>
      <x:c r="N139" s="30" t="str"/>
      <x:c r="O139" s="87" t="n">
        <x:v>54000</x:v>
      </x:c>
      <x:c r="P139" s="90" t="n">
        <x:v>18</x:v>
      </x:c>
      <x:c r="Q139" s="30" t="str">
        <x:v>None listed</x:v>
      </x:c>
      <x:c r="R139" s="30" t="str"/>
      <x:c r="S139" s="30" t="str"/>
      <x:c r="T139" s="30" t="str"/>
      <x:c r="U139" s="30" t="str"/>
      <x:c r="V139" s="30" t="str"/>
      <x:c r="W139" s="30" t="str"/>
      <x:c r="X139" s="30" t="str"/>
      <x:c r="Y139" s="30" t="str">
        <x:v>Not Started</x:v>
      </x:c>
      <x:c r="Z139" s="30" t="str">
        <x:v>Gemini export retained its citation label but not the live URL. Recover a source URL during research.</x:v>
      </x:c>
    </x:row>
    <x:row r="140" ht="22" customHeight="1">
      <x:c r="A140" s="30" t="str">
        <x:v>Kadant</x:v>
      </x:c>
      <x:c r="B140" s="30" t="str"/>
      <x:c r="C140" s="30" t="str"/>
      <x:c r="D140" s="30" t="str">
        <x:v>Auburn</x:v>
      </x:c>
      <x:c r="E140" s="30" t="str">
        <x:v>MA</x:v>
      </x:c>
      <x:c r="F140" s="30" t="str"/>
      <x:c r="G140" s="30" t="str"/>
      <x:c r="H140" s="93" t="b">
        <x:v>1</x:v>
      </x:c>
      <x:c r="I140" s="30" t="str">
        <x:v>Skrapp</x:v>
      </x:c>
      <x:c r="J140" s="30" t="str">
        <x:v>Gemini.docx</x:v>
      </x:c>
      <x:c r="K140" s="30" t="str">
        <x:v>Employer / Grantee</x:v>
      </x:c>
      <x:c r="L140" s="30" t="str">
        <x:v>MassHire Central MA</x:v>
      </x:c>
      <x:c r="M140" s="30" t="str">
        <x:v>[cite: 29, 33]</x:v>
      </x:c>
      <x:c r="N140" s="30" t="str"/>
      <x:c r="O140" s="87" t="n">
        <x:v>117200</x:v>
      </x:c>
      <x:c r="P140" s="90" t="n">
        <x:v>79</x:v>
      </x:c>
      <x:c r="Q140" s="30" t="str">
        <x:v>2 additional jobs</x:v>
      </x:c>
      <x:c r="R140" s="30" t="str"/>
      <x:c r="S140" s="30" t="str"/>
      <x:c r="T140" s="30" t="str"/>
      <x:c r="U140" s="30" t="str"/>
      <x:c r="V140" s="30" t="str"/>
      <x:c r="W140" s="30" t="str"/>
      <x:c r="X140" s="30" t="str"/>
      <x:c r="Y140" s="30" t="str">
        <x:v>Not Started</x:v>
      </x:c>
      <x:c r="Z140" s="30" t="str">
        <x:v>Gemini export retained its citation label but not the live URL. Recover a source URL during research.</x:v>
      </x:c>
    </x:row>
    <x:row r="141" ht="22" customHeight="1">
      <x:c r="A141" s="30" t="str">
        <x:v>Kaloutas &amp; Co</x:v>
      </x:c>
      <x:c r="B141" s="30" t="str"/>
      <x:c r="C141" s="30" t="str"/>
      <x:c r="D141" s="30" t="str">
        <x:v>Peabody</x:v>
      </x:c>
      <x:c r="E141" s="30" t="str">
        <x:v>MA</x:v>
      </x:c>
      <x:c r="F141" s="30" t="str"/>
      <x:c r="G141" s="30" t="str"/>
      <x:c r="H141" s="93" t="b">
        <x:v>1</x:v>
      </x:c>
      <x:c r="I141" s="30" t="str">
        <x:v>Skrapp</x:v>
      </x:c>
      <x:c r="J141" s="30" t="str">
        <x:v>Gemini.docx</x:v>
      </x:c>
      <x:c r="K141" s="30" t="str">
        <x:v>Employer / Grantee</x:v>
      </x:c>
      <x:c r="L141" s="30" t="str">
        <x:v>MassHire North Shore</x:v>
      </x:c>
      <x:c r="M141" s="30" t="str">
        <x:v>[cite: 29]</x:v>
      </x:c>
      <x:c r="N141" s="30" t="str"/>
      <x:c r="O141" s="87" t="n">
        <x:v>145600</x:v>
      </x:c>
      <x:c r="P141" s="90" t="n">
        <x:v>39</x:v>
      </x:c>
      <x:c r="Q141" s="30" t="str">
        <x:v>8 additional jobs</x:v>
      </x:c>
      <x:c r="R141" s="30" t="str"/>
      <x:c r="S141" s="30" t="str"/>
      <x:c r="T141" s="30" t="str"/>
      <x:c r="U141" s="30" t="str"/>
      <x:c r="V141" s="30" t="str"/>
      <x:c r="W141" s="30" t="str"/>
      <x:c r="X141" s="30" t="str"/>
      <x:c r="Y141" s="30" t="str">
        <x:v>Not Started</x:v>
      </x:c>
      <x:c r="Z141" s="30" t="str">
        <x:v>Gemini export retained its citation label but not the live URL. Recover a source URL during research.</x:v>
      </x:c>
    </x:row>
    <x:row r="142" ht="22" customHeight="1">
      <x:c r="A142" s="30" t="str">
        <x:v>KARL STORZ Endovision</x:v>
      </x:c>
      <x:c r="B142" s="30" t="str"/>
      <x:c r="C142" s="30" t="str"/>
      <x:c r="D142" s="30" t="str">
        <x:v>Charlton</x:v>
      </x:c>
      <x:c r="E142" s="30" t="str">
        <x:v>MA</x:v>
      </x:c>
      <x:c r="F142" s="30" t="str"/>
      <x:c r="G142" s="30" t="str"/>
      <x:c r="H142" s="93" t="b">
        <x:v>1</x:v>
      </x:c>
      <x:c r="I142" s="30" t="str">
        <x:v>Skrapp</x:v>
      </x:c>
      <x:c r="J142" s="30" t="str">
        <x:v>Gemini.docx</x:v>
      </x:c>
      <x:c r="K142" s="30" t="str">
        <x:v>Employer / Grantee</x:v>
      </x:c>
      <x:c r="L142" s="30" t="str">
        <x:v>MassHire Central MA</x:v>
      </x:c>
      <x:c r="M142" s="30" t="str">
        <x:v>[cite: 29, 33]</x:v>
      </x:c>
      <x:c r="N142" s="30" t="str"/>
      <x:c r="O142" s="87" t="n">
        <x:v>199850</x:v>
      </x:c>
      <x:c r="P142" s="90" t="n">
        <x:v>147</x:v>
      </x:c>
      <x:c r="Q142" s="30" t="str">
        <x:v>None listed</x:v>
      </x:c>
      <x:c r="R142" s="30" t="str"/>
      <x:c r="S142" s="30" t="str"/>
      <x:c r="T142" s="30" t="str"/>
      <x:c r="U142" s="30" t="str"/>
      <x:c r="V142" s="30" t="str"/>
      <x:c r="W142" s="30" t="str"/>
      <x:c r="X142" s="30" t="str"/>
      <x:c r="Y142" s="30" t="str">
        <x:v>Not Started</x:v>
      </x:c>
      <x:c r="Z142" s="30" t="str">
        <x:v>Gemini export retained its citation label but not the live URL. Recover a source URL during research.</x:v>
      </x:c>
    </x:row>
    <x:row r="143" ht="22" customHeight="1">
      <x:c r="A143" s="30" t="str">
        <x:v>Keurig Green Mountain</x:v>
      </x:c>
      <x:c r="B143" s="30" t="str"/>
      <x:c r="C143" s="30" t="str"/>
      <x:c r="D143" s="30" t="str">
        <x:v>Burlington</x:v>
      </x:c>
      <x:c r="E143" s="30" t="str">
        <x:v>MA</x:v>
      </x:c>
      <x:c r="F143" s="30" t="str"/>
      <x:c r="G143" s="30" t="str"/>
      <x:c r="H143" s="93" t="b">
        <x:v>1</x:v>
      </x:c>
      <x:c r="I143" s="30" t="str">
        <x:v>Skrapp</x:v>
      </x:c>
      <x:c r="J143" s="30" t="str">
        <x:v>Gemini.docx</x:v>
      </x:c>
      <x:c r="K143" s="30" t="str">
        <x:v>Employer / Grantee</x:v>
      </x:c>
      <x:c r="L143" s="30" t="str">
        <x:v>MassHire Metro North</x:v>
      </x:c>
      <x:c r="M143" s="30" t="str">
        <x:v>[cite: 56]</x:v>
      </x:c>
      <x:c r="N143" s="30" t="str"/>
      <x:c r="O143" s="87" t="n">
        <x:v>123200</x:v>
      </x:c>
      <x:c r="P143" s="90" t="n">
        <x:v>64</x:v>
      </x:c>
      <x:c r="Q143" s="30" t="str">
        <x:v>41 additional jobs</x:v>
      </x:c>
      <x:c r="R143" s="30" t="str"/>
      <x:c r="S143" s="30" t="str"/>
      <x:c r="T143" s="30" t="str"/>
      <x:c r="U143" s="30" t="str"/>
      <x:c r="V143" s="30" t="str"/>
      <x:c r="W143" s="30" t="str"/>
      <x:c r="X143" s="30" t="str"/>
      <x:c r="Y143" s="30" t="str">
        <x:v>Not Started</x:v>
      </x:c>
      <x:c r="Z143" s="30" t="str">
        <x:v>Gemini export retained its citation label but not the live URL. Recover a source URL during research.</x:v>
      </x:c>
    </x:row>
    <x:row r="144" ht="22" customHeight="1">
      <x:c r="A144" s="30" t="str">
        <x:v>Kidde-Fenwal</x:v>
      </x:c>
      <x:c r="B144" s="30" t="str"/>
      <x:c r="C144" s="30" t="str"/>
      <x:c r="D144" s="30" t="str">
        <x:v>Ashland</x:v>
      </x:c>
      <x:c r="E144" s="30" t="str">
        <x:v>MA</x:v>
      </x:c>
      <x:c r="F144" s="30" t="str"/>
      <x:c r="G144" s="30" t="str"/>
      <x:c r="H144" s="93" t="b">
        <x:v>1</x:v>
      </x:c>
      <x:c r="I144" s="30" t="str">
        <x:v>Skrapp</x:v>
      </x:c>
      <x:c r="J144" s="30" t="str">
        <x:v>Gemini.docx</x:v>
      </x:c>
      <x:c r="K144" s="30" t="str">
        <x:v>Employer / Grantee</x:v>
      </x:c>
      <x:c r="L144" s="30" t="str">
        <x:v>MassHire Metro South/West</x:v>
      </x:c>
      <x:c r="M144" s="30" t="str">
        <x:v>[cite: 5]</x:v>
      </x:c>
      <x:c r="N144" s="30" t="str"/>
      <x:c r="O144" s="87" t="n">
        <x:v>60600</x:v>
      </x:c>
      <x:c r="P144" s="90" t="n">
        <x:v>55</x:v>
      </x:c>
      <x:c r="Q144" s="30" t="str">
        <x:v>25 additional jobs</x:v>
      </x:c>
      <x:c r="R144" s="30" t="str"/>
      <x:c r="S144" s="30" t="str"/>
      <x:c r="T144" s="30" t="str"/>
      <x:c r="U144" s="30" t="str"/>
      <x:c r="V144" s="30" t="str"/>
      <x:c r="W144" s="30" t="str"/>
      <x:c r="X144" s="30" t="str"/>
      <x:c r="Y144" s="30" t="str">
        <x:v>Not Started</x:v>
      </x:c>
      <x:c r="Z144" s="30" t="str">
        <x:v>Gemini export retained its citation label but not the live URL. Recover a source URL during research.</x:v>
      </x:c>
    </x:row>
    <x:row r="145" ht="22" customHeight="1">
      <x:c r="A145" s="30" t="str">
        <x:v>Kirkwood Printing Company</x:v>
      </x:c>
      <x:c r="B145" s="30" t="str"/>
      <x:c r="C145" s="30" t="str"/>
      <x:c r="D145" s="30" t="str">
        <x:v>Wilmington</x:v>
      </x:c>
      <x:c r="E145" s="30" t="str">
        <x:v>MA</x:v>
      </x:c>
      <x:c r="F145" s="30" t="str"/>
      <x:c r="G145" s="30" t="str"/>
      <x:c r="H145" s="93" t="b">
        <x:v>1</x:v>
      </x:c>
      <x:c r="I145" s="30" t="str">
        <x:v>Skrapp</x:v>
      </x:c>
      <x:c r="J145" s="30" t="str">
        <x:v>Gemini.docx</x:v>
      </x:c>
      <x:c r="K145" s="30" t="str">
        <x:v>Employer / Grantee</x:v>
      </x:c>
      <x:c r="L145" s="30" t="str">
        <x:v>MassHire Metro North</x:v>
      </x:c>
      <x:c r="M145" s="30" t="str">
        <x:v>[cite: 45]</x:v>
      </x:c>
      <x:c r="N145" s="30" t="str"/>
      <x:c r="O145" s="87" t="n">
        <x:v>91200</x:v>
      </x:c>
      <x:c r="P145" s="90" t="n">
        <x:v>113</x:v>
      </x:c>
      <x:c r="Q145" s="30" t="str">
        <x:v>2 additional jobs</x:v>
      </x:c>
      <x:c r="R145" s="30" t="str"/>
      <x:c r="S145" s="30" t="str"/>
      <x:c r="T145" s="30" t="str"/>
      <x:c r="U145" s="30" t="str"/>
      <x:c r="V145" s="30" t="str"/>
      <x:c r="W145" s="30" t="str"/>
      <x:c r="X145" s="30" t="str"/>
      <x:c r="Y145" s="30" t="str">
        <x:v>Not Started</x:v>
      </x:c>
      <x:c r="Z145" s="30" t="str">
        <x:v>Gemini export retained its citation label but not the live URL. Recover a source URL during research.</x:v>
      </x:c>
    </x:row>
    <x:row r="146" ht="22" customHeight="1">
      <x:c r="A146" s="30" t="str">
        <x:v>Landry's Bicycles</x:v>
      </x:c>
      <x:c r="B146" s="30" t="str"/>
      <x:c r="C146" s="30" t="str"/>
      <x:c r="D146" s="30" t="str">
        <x:v>Natick</x:v>
      </x:c>
      <x:c r="E146" s="30" t="str">
        <x:v>MA</x:v>
      </x:c>
      <x:c r="F146" s="30" t="str"/>
      <x:c r="G146" s="30" t="str"/>
      <x:c r="H146" s="93" t="b">
        <x:v>1</x:v>
      </x:c>
      <x:c r="I146" s="30" t="str">
        <x:v>Skrapp</x:v>
      </x:c>
      <x:c r="J146" s="30" t="str">
        <x:v>Gemini.docx</x:v>
      </x:c>
      <x:c r="K146" s="30" t="str">
        <x:v>Employer / Grantee</x:v>
      </x:c>
      <x:c r="L146" s="30" t="str">
        <x:v>MassHire Metro South/West</x:v>
      </x:c>
      <x:c r="M146" s="30" t="str">
        <x:v>[cite: 29]</x:v>
      </x:c>
      <x:c r="N146" s="30" t="str"/>
      <x:c r="O146" s="87" t="n">
        <x:v>180600</x:v>
      </x:c>
      <x:c r="P146" s="90" t="n">
        <x:v>136</x:v>
      </x:c>
      <x:c r="Q146" s="30" t="str">
        <x:v>20 additional jobs</x:v>
      </x:c>
      <x:c r="R146" s="30" t="str"/>
      <x:c r="S146" s="30" t="str"/>
      <x:c r="T146" s="30" t="str"/>
      <x:c r="U146" s="30" t="str"/>
      <x:c r="V146" s="30" t="str"/>
      <x:c r="W146" s="30" t="str"/>
      <x:c r="X146" s="30" t="str"/>
      <x:c r="Y146" s="30" t="str">
        <x:v>Not Started</x:v>
      </x:c>
      <x:c r="Z146" s="30" t="str">
        <x:v>Gemini export retained its citation label but not the live URL. Recover a source URL during research.</x:v>
      </x:c>
    </x:row>
    <x:row r="147" ht="22" customHeight="1">
      <x:c r="A147" s="30" t="str">
        <x:v>Larson Tool &amp; Stamping Company</x:v>
      </x:c>
      <x:c r="B147" s="30" t="str"/>
      <x:c r="C147" s="30" t="str"/>
      <x:c r="D147" s="30" t="str">
        <x:v>Attleboro</x:v>
      </x:c>
      <x:c r="E147" s="30" t="str">
        <x:v>MA</x:v>
      </x:c>
      <x:c r="F147" s="30" t="str"/>
      <x:c r="G147" s="30" t="str"/>
      <x:c r="H147" s="93" t="b">
        <x:v>1</x:v>
      </x:c>
      <x:c r="I147" s="30" t="str">
        <x:v>Skrapp</x:v>
      </x:c>
      <x:c r="J147" s="30" t="str">
        <x:v>Gemini.docx</x:v>
      </x:c>
      <x:c r="K147" s="30" t="str">
        <x:v>Employer / Grantee</x:v>
      </x:c>
      <x:c r="L147" s="30" t="str">
        <x:v>MassHire Bristol County</x:v>
      </x:c>
      <x:c r="M147" s="30" t="str">
        <x:v>[cite: 56]</x:v>
      </x:c>
      <x:c r="N147" s="30" t="str"/>
      <x:c r="O147" s="87" t="n">
        <x:v>171500</x:v>
      </x:c>
      <x:c r="P147" s="90" t="n">
        <x:v>61</x:v>
      </x:c>
      <x:c r="Q147" s="30" t="str">
        <x:v>5 additional jobs</x:v>
      </x:c>
      <x:c r="R147" s="30" t="str"/>
      <x:c r="S147" s="30" t="str"/>
      <x:c r="T147" s="30" t="str"/>
      <x:c r="U147" s="30" t="str"/>
      <x:c r="V147" s="30" t="str"/>
      <x:c r="W147" s="30" t="str"/>
      <x:c r="X147" s="30" t="str"/>
      <x:c r="Y147" s="30" t="str">
        <x:v>Not Started</x:v>
      </x:c>
      <x:c r="Z147" s="30" t="str">
        <x:v>Gemini export retained its citation label but not the live URL. Recover a source URL during research.</x:v>
      </x:c>
    </x:row>
    <x:row r="148" ht="22" customHeight="1">
      <x:c r="A148" s="30" t="str">
        <x:v>Lenco Armored Vehicles</x:v>
      </x:c>
      <x:c r="B148" s="30" t="str"/>
      <x:c r="C148" s="30" t="str"/>
      <x:c r="D148" s="30" t="str">
        <x:v>Pittsfield</x:v>
      </x:c>
      <x:c r="E148" s="30" t="str">
        <x:v>MA</x:v>
      </x:c>
      <x:c r="F148" s="30" t="str"/>
      <x:c r="G148" s="30" t="str"/>
      <x:c r="H148" s="93" t="b">
        <x:v>1</x:v>
      </x:c>
      <x:c r="I148" s="30" t="str">
        <x:v>Skrapp</x:v>
      </x:c>
      <x:c r="J148" s="30" t="str">
        <x:v>Gemini.docx</x:v>
      </x:c>
      <x:c r="K148" s="30" t="str">
        <x:v>Employer / Grantee</x:v>
      </x:c>
      <x:c r="L148" s="30" t="str">
        <x:v>MassHire Berkshires</x:v>
      </x:c>
      <x:c r="M148" s="30" t="str">
        <x:v>[cite: 27]</x:v>
      </x:c>
      <x:c r="N148" s="30" t="str"/>
      <x:c r="O148" s="87" t="n">
        <x:v>145600</x:v>
      </x:c>
      <x:c r="P148" s="90" t="n">
        <x:v>86</x:v>
      </x:c>
      <x:c r="Q148" s="30" t="str">
        <x:v>18 additional jobs</x:v>
      </x:c>
      <x:c r="R148" s="30" t="str"/>
      <x:c r="S148" s="30" t="str"/>
      <x:c r="T148" s="30" t="str"/>
      <x:c r="U148" s="30" t="str"/>
      <x:c r="V148" s="30" t="str"/>
      <x:c r="W148" s="30" t="str"/>
      <x:c r="X148" s="30" t="str"/>
      <x:c r="Y148" s="30" t="str">
        <x:v>Not Started</x:v>
      </x:c>
      <x:c r="Z148" s="30" t="str">
        <x:v>Gemini export retained its citation label but not the live URL. Recover a source URL during research.</x:v>
      </x:c>
    </x:row>
    <x:row r="149" ht="22" customHeight="1">
      <x:c r="A149" s="30" t="str">
        <x:v>LEONI Wire Inc</x:v>
      </x:c>
      <x:c r="B149" s="30" t="str"/>
      <x:c r="C149" s="30" t="str"/>
      <x:c r="D149" s="30" t="str">
        <x:v>Chicopee</x:v>
      </x:c>
      <x:c r="E149" s="30" t="str">
        <x:v>MA</x:v>
      </x:c>
      <x:c r="F149" s="30" t="str"/>
      <x:c r="G149" s="30" t="str"/>
      <x:c r="H149" s="93" t="b">
        <x:v>1</x:v>
      </x:c>
      <x:c r="I149" s="30" t="str">
        <x:v>Skrapp</x:v>
      </x:c>
      <x:c r="J149" s="30" t="str">
        <x:v>Gemini.docx</x:v>
      </x:c>
      <x:c r="K149" s="30" t="str">
        <x:v>Employer / Grantee</x:v>
      </x:c>
      <x:c r="L149" s="30" t="str">
        <x:v>MassHire Hampden</x:v>
      </x:c>
      <x:c r="M149" s="30" t="str">
        <x:v>[cite: 56]</x:v>
      </x:c>
      <x:c r="N149" s="30" t="str"/>
      <x:c r="O149" s="87" t="n">
        <x:v>149900</x:v>
      </x:c>
      <x:c r="P149" s="90" t="n">
        <x:v>85</x:v>
      </x:c>
      <x:c r="Q149" s="30" t="str">
        <x:v>10 additional jobs</x:v>
      </x:c>
      <x:c r="R149" s="30" t="str"/>
      <x:c r="S149" s="30" t="str"/>
      <x:c r="T149" s="30" t="str"/>
      <x:c r="U149" s="30" t="str"/>
      <x:c r="V149" s="30" t="str"/>
      <x:c r="W149" s="30" t="str"/>
      <x:c r="X149" s="30" t="str"/>
      <x:c r="Y149" s="30" t="str">
        <x:v>Not Started</x:v>
      </x:c>
      <x:c r="Z149" s="30" t="str">
        <x:v>Gemini export retained its citation label but not the live URL. Recover a source URL during research.</x:v>
      </x:c>
    </x:row>
    <x:row r="150" ht="22" customHeight="1">
      <x:c r="A150" s="30" t="str">
        <x:v>Little Leaf Farms</x:v>
      </x:c>
      <x:c r="B150" s="30" t="str"/>
      <x:c r="C150" s="30" t="str"/>
      <x:c r="D150" s="30" t="str">
        <x:v>Devens</x:v>
      </x:c>
      <x:c r="E150" s="30" t="str">
        <x:v>MA</x:v>
      </x:c>
      <x:c r="F150" s="30" t="str"/>
      <x:c r="G150" s="30" t="str"/>
      <x:c r="H150" s="93" t="b">
        <x:v>1</x:v>
      </x:c>
      <x:c r="I150" s="30" t="str">
        <x:v>Skrapp</x:v>
      </x:c>
      <x:c r="J150" s="30" t="str">
        <x:v>Gemini.docx</x:v>
      </x:c>
      <x:c r="K150" s="30" t="str">
        <x:v>Employer / Grantee</x:v>
      </x:c>
      <x:c r="L150" s="30" t="str">
        <x:v>MassHire Central MA</x:v>
      </x:c>
      <x:c r="M150" s="30" t="str">
        <x:v>[cite: 5]</x:v>
      </x:c>
      <x:c r="N150" s="30" t="str"/>
      <x:c r="O150" s="87" t="n">
        <x:v>81000</x:v>
      </x:c>
      <x:c r="P150" s="90" t="n">
        <x:v>20</x:v>
      </x:c>
      <x:c r="Q150" s="30" t="str">
        <x:v>5 additional jobs</x:v>
      </x:c>
      <x:c r="R150" s="30" t="str"/>
      <x:c r="S150" s="30" t="str"/>
      <x:c r="T150" s="30" t="str"/>
      <x:c r="U150" s="30" t="str"/>
      <x:c r="V150" s="30" t="str"/>
      <x:c r="W150" s="30" t="str"/>
      <x:c r="X150" s="30" t="str"/>
      <x:c r="Y150" s="30" t="str">
        <x:v>Not Started</x:v>
      </x:c>
      <x:c r="Z150" s="30" t="str">
        <x:v>Gemini export retained its citation label but not the live URL. Recover a source URL during research.</x:v>
      </x:c>
    </x:row>
    <x:row r="151" ht="22" customHeight="1">
      <x:c r="A151" s="30" t="str">
        <x:v>Llumin</x:v>
      </x:c>
      <x:c r="B151" s="30" t="str"/>
      <x:c r="C151" s="30" t="str"/>
      <x:c r="D151" s="30" t="str">
        <x:v>Springfield</x:v>
      </x:c>
      <x:c r="E151" s="30" t="str">
        <x:v>MA</x:v>
      </x:c>
      <x:c r="F151" s="30" t="str"/>
      <x:c r="G151" s="30" t="str"/>
      <x:c r="H151" s="93" t="b">
        <x:v>1</x:v>
      </x:c>
      <x:c r="I151" s="30" t="str">
        <x:v>Skrapp</x:v>
      </x:c>
      <x:c r="J151" s="30" t="str">
        <x:v>Gemini.docx</x:v>
      </x:c>
      <x:c r="K151" s="30" t="str">
        <x:v>Employer / Grantee</x:v>
      </x:c>
      <x:c r="L151" s="30" t="str">
        <x:v>MassHire Hampden</x:v>
      </x:c>
      <x:c r="M151" s="30" t="str">
        <x:v>[cite: 29]</x:v>
      </x:c>
      <x:c r="N151" s="30" t="str"/>
      <x:c r="O151" s="87" t="n">
        <x:v>69800</x:v>
      </x:c>
      <x:c r="P151" s="90" t="n">
        <x:v>16</x:v>
      </x:c>
      <x:c r="Q151" s="30" t="str">
        <x:v>8 additional jobs</x:v>
      </x:c>
      <x:c r="R151" s="30" t="str"/>
      <x:c r="S151" s="30" t="str"/>
      <x:c r="T151" s="30" t="str"/>
      <x:c r="U151" s="30" t="str"/>
      <x:c r="V151" s="30" t="str"/>
      <x:c r="W151" s="30" t="str"/>
      <x:c r="X151" s="30" t="str"/>
      <x:c r="Y151" s="30" t="str">
        <x:v>Not Started</x:v>
      </x:c>
      <x:c r="Z151" s="30" t="str">
        <x:v>Gemini export retained its citation label but not the live URL. Recover a source URL during research.</x:v>
      </x:c>
    </x:row>
    <x:row r="152" ht="22" customHeight="1">
      <x:c r="A152" s="30" t="str">
        <x:v>LSF Quality Control Center</x:v>
      </x:c>
      <x:c r="B152" s="30" t="str"/>
      <x:c r="C152" s="30" t="str"/>
      <x:c r="D152" s="30" t="str">
        <x:v>Boston</x:v>
      </x:c>
      <x:c r="E152" s="30" t="str">
        <x:v>MA</x:v>
      </x:c>
      <x:c r="F152" s="30" t="str"/>
      <x:c r="G152" s="30" t="str"/>
      <x:c r="H152" s="93" t="b">
        <x:v>1</x:v>
      </x:c>
      <x:c r="I152" s="30" t="str">
        <x:v>Skrapp</x:v>
      </x:c>
      <x:c r="J152" s="30" t="str">
        <x:v>Gemini.docx</x:v>
      </x:c>
      <x:c r="K152" s="30" t="str">
        <x:v>Employer / Grantee</x:v>
      </x:c>
      <x:c r="L152" s="30" t="str">
        <x:v>MassHire Boston</x:v>
      </x:c>
      <x:c r="M152" s="30" t="str">
        <x:v>[cite: 2, 5]</x:v>
      </x:c>
      <x:c r="N152" s="30" t="str"/>
      <x:c r="O152" s="87" t="n">
        <x:v>43200</x:v>
      </x:c>
      <x:c r="P152" s="90" t="n">
        <x:v>18</x:v>
      </x:c>
      <x:c r="Q152" s="30" t="str">
        <x:v>None listed</x:v>
      </x:c>
      <x:c r="R152" s="30" t="str"/>
      <x:c r="S152" s="30" t="str"/>
      <x:c r="T152" s="30" t="str"/>
      <x:c r="U152" s="30" t="str"/>
      <x:c r="V152" s="30" t="str"/>
      <x:c r="W152" s="30" t="str"/>
      <x:c r="X152" s="30" t="str"/>
      <x:c r="Y152" s="30" t="str">
        <x:v>Not Started</x:v>
      </x:c>
      <x:c r="Z152" s="30" t="str">
        <x:v>Gemini export retained its citation label but not the live URL. Recover a source URL during research.</x:v>
      </x:c>
    </x:row>
    <x:row r="153" ht="22" customHeight="1">
      <x:c r="A153" s="30" t="str">
        <x:v>Lyndra Therapeutics</x:v>
      </x:c>
      <x:c r="B153" s="30" t="str"/>
      <x:c r="C153" s="30" t="str"/>
      <x:c r="D153" s="30" t="str">
        <x:v>Watertown</x:v>
      </x:c>
      <x:c r="E153" s="30" t="str">
        <x:v>MA</x:v>
      </x:c>
      <x:c r="F153" s="30" t="str"/>
      <x:c r="G153" s="30" t="str"/>
      <x:c r="H153" s="93" t="b">
        <x:v>1</x:v>
      </x:c>
      <x:c r="I153" s="30" t="str">
        <x:v>Skrapp</x:v>
      </x:c>
      <x:c r="J153" s="30" t="str">
        <x:v>Gemini.docx</x:v>
      </x:c>
      <x:c r="K153" s="30" t="str">
        <x:v>Employer / Grantee</x:v>
      </x:c>
      <x:c r="L153" s="30" t="str">
        <x:v>MassHire Metro North</x:v>
      </x:c>
      <x:c r="M153" s="30" t="str">
        <x:v>[cite: 28, 29]</x:v>
      </x:c>
      <x:c r="N153" s="30" t="str"/>
      <x:c r="O153" s="87" t="n">
        <x:v>194250</x:v>
      </x:c>
      <x:c r="P153" s="90" t="n">
        <x:v>58</x:v>
      </x:c>
      <x:c r="Q153" s="30" t="str">
        <x:v>30 additional jobs</x:v>
      </x:c>
      <x:c r="R153" s="30" t="str"/>
      <x:c r="S153" s="30" t="str"/>
      <x:c r="T153" s="30" t="str"/>
      <x:c r="U153" s="30" t="str"/>
      <x:c r="V153" s="30" t="str"/>
      <x:c r="W153" s="30" t="str"/>
      <x:c r="X153" s="30" t="str"/>
      <x:c r="Y153" s="30" t="str">
        <x:v>Not Started</x:v>
      </x:c>
      <x:c r="Z153" s="30" t="str">
        <x:v>Gemini export retained its citation label but not the live URL. Recover a source URL during research.</x:v>
      </x:c>
    </x:row>
    <x:row r="154" ht="22" customHeight="1">
      <x:c r="A154" s="30" t="str">
        <x:v>Main Street Bank</x:v>
      </x:c>
      <x:c r="B154" s="30" t="str"/>
      <x:c r="C154" s="30" t="str"/>
      <x:c r="D154" s="30" t="str">
        <x:v>Marlborough</x:v>
      </x:c>
      <x:c r="E154" s="30" t="str">
        <x:v>MA</x:v>
      </x:c>
      <x:c r="F154" s="30" t="str"/>
      <x:c r="G154" s="30" t="str"/>
      <x:c r="H154" s="93" t="b">
        <x:v>1</x:v>
      </x:c>
      <x:c r="I154" s="30" t="str">
        <x:v>Skrapp</x:v>
      </x:c>
      <x:c r="J154" s="30" t="str">
        <x:v>Gemini.docx</x:v>
      </x:c>
      <x:c r="K154" s="30" t="str">
        <x:v>Employer / Grantee</x:v>
      </x:c>
      <x:c r="L154" s="30" t="str">
        <x:v>MassHire Metro South/West</x:v>
      </x:c>
      <x:c r="M154" s="30" t="str">
        <x:v>[cite: 5]</x:v>
      </x:c>
      <x:c r="N154" s="30" t="str"/>
      <x:c r="O154" s="87" t="n">
        <x:v>103800</x:v>
      </x:c>
      <x:c r="P154" s="90" t="n">
        <x:v>141</x:v>
      </x:c>
      <x:c r="Q154" s="30" t="str">
        <x:v>4 additional jobs</x:v>
      </x:c>
      <x:c r="R154" s="30" t="str"/>
      <x:c r="S154" s="30" t="str"/>
      <x:c r="T154" s="30" t="str"/>
      <x:c r="U154" s="30" t="str"/>
      <x:c r="V154" s="30" t="str"/>
      <x:c r="W154" s="30" t="str"/>
      <x:c r="X154" s="30" t="str"/>
      <x:c r="Y154" s="30" t="str">
        <x:v>Not Started</x:v>
      </x:c>
      <x:c r="Z154" s="30" t="str">
        <x:v>Gemini export retained its citation label but not the live URL. Recover a source URL during research.</x:v>
      </x:c>
    </x:row>
    <x:row r="155" ht="22" customHeight="1">
      <x:c r="A155" s="30" t="str">
        <x:v>Manny's Appliances, Inc</x:v>
      </x:c>
      <x:c r="B155" s="30" t="str"/>
      <x:c r="C155" s="30" t="str"/>
      <x:c r="D155" s="30" t="str">
        <x:v>Greenfield</x:v>
      </x:c>
      <x:c r="E155" s="30" t="str">
        <x:v>MA</x:v>
      </x:c>
      <x:c r="F155" s="30" t="str"/>
      <x:c r="G155" s="30" t="str"/>
      <x:c r="H155" s="93" t="b">
        <x:v>1</x:v>
      </x:c>
      <x:c r="I155" s="30" t="str">
        <x:v>Skrapp</x:v>
      </x:c>
      <x:c r="J155" s="30" t="str">
        <x:v>Gemini.docx</x:v>
      </x:c>
      <x:c r="K155" s="30" t="str">
        <x:v>Employer / Grantee</x:v>
      </x:c>
      <x:c r="L155" s="30" t="str">
        <x:v>MassHire Franklin/Hampshire</x:v>
      </x:c>
      <x:c r="M155" s="30" t="str">
        <x:v>[cite: 27]</x:v>
      </x:c>
      <x:c r="N155" s="30" t="str"/>
      <x:c r="O155" s="87" t="n">
        <x:v>76300</x:v>
      </x:c>
      <x:c r="P155" s="90" t="n">
        <x:v>133</x:v>
      </x:c>
      <x:c r="Q155" s="30" t="str">
        <x:v>9 additional jobs</x:v>
      </x:c>
      <x:c r="R155" s="30" t="str"/>
      <x:c r="S155" s="30" t="str"/>
      <x:c r="T155" s="30" t="str"/>
      <x:c r="U155" s="30" t="str"/>
      <x:c r="V155" s="30" t="str"/>
      <x:c r="W155" s="30" t="str"/>
      <x:c r="X155" s="30" t="str"/>
      <x:c r="Y155" s="30" t="str">
        <x:v>Not Started</x:v>
      </x:c>
      <x:c r="Z155" s="30" t="str">
        <x:v>Gemini export retained its citation label but not the live URL. Recover a source URL during research.</x:v>
      </x:c>
    </x:row>
    <x:row r="156" ht="22" customHeight="1">
      <x:c r="A156" s="30" t="str">
        <x:v>MASS MoCA</x:v>
      </x:c>
      <x:c r="B156" s="30" t="str"/>
      <x:c r="C156" s="30" t="str"/>
      <x:c r="D156" s="30" t="str">
        <x:v>North Adams</x:v>
      </x:c>
      <x:c r="E156" s="30" t="str">
        <x:v>MA</x:v>
      </x:c>
      <x:c r="F156" s="30" t="str"/>
      <x:c r="G156" s="30" t="str"/>
      <x:c r="H156" s="93" t="b">
        <x:v>1</x:v>
      </x:c>
      <x:c r="I156" s="30" t="str">
        <x:v>Skrapp</x:v>
      </x:c>
      <x:c r="J156" s="30" t="str">
        <x:v>Gemini.docx</x:v>
      </x:c>
      <x:c r="K156" s="30" t="str">
        <x:v>Employer / Grantee</x:v>
      </x:c>
      <x:c r="L156" s="30" t="str">
        <x:v>MassHire Berkshires</x:v>
      </x:c>
      <x:c r="M156" s="30" t="str">
        <x:v>[cite: 2]</x:v>
      </x:c>
      <x:c r="N156" s="30" t="str"/>
      <x:c r="O156" s="87" t="n">
        <x:v>48000</x:v>
      </x:c>
      <x:c r="P156" s="90" t="n">
        <x:v>177</x:v>
      </x:c>
      <x:c r="Q156" s="30" t="str">
        <x:v>4 additional jobs</x:v>
      </x:c>
      <x:c r="R156" s="30" t="str"/>
      <x:c r="S156" s="30" t="str"/>
      <x:c r="T156" s="30" t="str"/>
      <x:c r="U156" s="30" t="str"/>
      <x:c r="V156" s="30" t="str"/>
      <x:c r="W156" s="30" t="str"/>
      <x:c r="X156" s="30" t="str"/>
      <x:c r="Y156" s="30" t="str">
        <x:v>Not Started</x:v>
      </x:c>
      <x:c r="Z156" s="30" t="str">
        <x:v>Gemini export retained its citation label but not the live URL. Recover a source URL during research.</x:v>
      </x:c>
    </x:row>
    <x:row r="157" ht="22" customHeight="1">
      <x:c r="A157" s="30" t="str">
        <x:v>Materion Precision Optics &amp; Thin Film</x:v>
      </x:c>
      <x:c r="B157" s="30" t="str"/>
      <x:c r="C157" s="30" t="str"/>
      <x:c r="D157" s="30" t="str">
        <x:v>Westford</x:v>
      </x:c>
      <x:c r="E157" s="30" t="str">
        <x:v>MA</x:v>
      </x:c>
      <x:c r="F157" s="30" t="str"/>
      <x:c r="G157" s="30" t="str"/>
      <x:c r="H157" s="93" t="b">
        <x:v>1</x:v>
      </x:c>
      <x:c r="I157" s="30" t="str">
        <x:v>Skrapp</x:v>
      </x:c>
      <x:c r="J157" s="30" t="str">
        <x:v>Gemini.docx</x:v>
      </x:c>
      <x:c r="K157" s="30" t="str">
        <x:v>Employer / Grantee</x:v>
      </x:c>
      <x:c r="L157" s="30" t="str">
        <x:v>MassHire Greater Lowell</x:v>
      </x:c>
      <x:c r="M157" s="30" t="str">
        <x:v>[cite: 27]</x:v>
      </x:c>
      <x:c r="N157" s="30" t="str"/>
      <x:c r="O157" s="87" t="n">
        <x:v>33600</x:v>
      </x:c>
      <x:c r="P157" s="90" t="n">
        <x:v>33</x:v>
      </x:c>
      <x:c r="Q157" s="30" t="str">
        <x:v>7 additional jobs</x:v>
      </x:c>
      <x:c r="R157" s="30" t="str"/>
      <x:c r="S157" s="30" t="str"/>
      <x:c r="T157" s="30" t="str"/>
      <x:c r="U157" s="30" t="str"/>
      <x:c r="V157" s="30" t="str"/>
      <x:c r="W157" s="30" t="str"/>
      <x:c r="X157" s="30" t="str"/>
      <x:c r="Y157" s="30" t="str">
        <x:v>Not Started</x:v>
      </x:c>
      <x:c r="Z157" s="30" t="str">
        <x:v>Gemini export retained its citation label but not the live URL. Recover a source URL during research.</x:v>
      </x:c>
    </x:row>
    <x:row r="158" ht="22" customHeight="1">
      <x:c r="A158" s="30" t="str">
        <x:v>Matouk Textile Works</x:v>
      </x:c>
      <x:c r="B158" s="30" t="str"/>
      <x:c r="C158" s="30" t="str"/>
      <x:c r="D158" s="30" t="str">
        <x:v>Fall River</x:v>
      </x:c>
      <x:c r="E158" s="30" t="str">
        <x:v>MA</x:v>
      </x:c>
      <x:c r="F158" s="30" t="str"/>
      <x:c r="G158" s="30" t="str"/>
      <x:c r="H158" s="93" t="b">
        <x:v>1</x:v>
      </x:c>
      <x:c r="I158" s="30" t="str">
        <x:v>Skrapp</x:v>
      </x:c>
      <x:c r="J158" s="30" t="str">
        <x:v>Gemini.docx</x:v>
      </x:c>
      <x:c r="K158" s="30" t="str">
        <x:v>Employer / Grantee</x:v>
      </x:c>
      <x:c r="L158" s="30" t="str">
        <x:v>MassHire Bristol County</x:v>
      </x:c>
      <x:c r="M158" s="30" t="str">
        <x:v>[cite: 28]</x:v>
      </x:c>
      <x:c r="N158" s="30" t="str"/>
      <x:c r="O158" s="87" t="n">
        <x:v>99750</x:v>
      </x:c>
      <x:c r="P158" s="90" t="n">
        <x:v>50</x:v>
      </x:c>
      <x:c r="Q158" s="30" t="str">
        <x:v>10 additional jobs</x:v>
      </x:c>
      <x:c r="R158" s="30" t="str"/>
      <x:c r="S158" s="30" t="str"/>
      <x:c r="T158" s="30" t="str"/>
      <x:c r="U158" s="30" t="str"/>
      <x:c r="V158" s="30" t="str"/>
      <x:c r="W158" s="30" t="str"/>
      <x:c r="X158" s="30" t="str"/>
      <x:c r="Y158" s="30" t="str">
        <x:v>Not Started</x:v>
      </x:c>
      <x:c r="Z158" s="30" t="str">
        <x:v>Gemini export retained its citation label but not the live URL. Recover a source URL during research.</x:v>
      </x:c>
    </x:row>
    <x:row r="159" ht="22" customHeight="1">
      <x:c r="A159" s="30" t="str">
        <x:v>Maugel Architects, Inc.</x:v>
      </x:c>
      <x:c r="B159" s="30" t="str"/>
      <x:c r="C159" s="30" t="str"/>
      <x:c r="D159" s="30" t="str">
        <x:v>Harvard</x:v>
      </x:c>
      <x:c r="E159" s="30" t="str">
        <x:v>MA</x:v>
      </x:c>
      <x:c r="F159" s="30" t="str"/>
      <x:c r="G159" s="30" t="str"/>
      <x:c r="H159" s="93" t="b">
        <x:v>1</x:v>
      </x:c>
      <x:c r="I159" s="30" t="str">
        <x:v>Skrapp</x:v>
      </x:c>
      <x:c r="J159" s="30" t="str">
        <x:v>Gemini.docx</x:v>
      </x:c>
      <x:c r="K159" s="30" t="str">
        <x:v>Employer / Grantee</x:v>
      </x:c>
      <x:c r="L159" s="30" t="str">
        <x:v>MassHire Central MA</x:v>
      </x:c>
      <x:c r="M159" s="30" t="str">
        <x:v>[cite: 56]</x:v>
      </x:c>
      <x:c r="N159" s="30" t="str"/>
      <x:c r="O159" s="87" t="n">
        <x:v>123200</x:v>
      </x:c>
      <x:c r="P159" s="90" t="n">
        <x:v>28</x:v>
      </x:c>
      <x:c r="Q159" s="30" t="str">
        <x:v>3 additional jobs</x:v>
      </x:c>
      <x:c r="R159" s="30" t="str"/>
      <x:c r="S159" s="30" t="str"/>
      <x:c r="T159" s="30" t="str"/>
      <x:c r="U159" s="30" t="str"/>
      <x:c r="V159" s="30" t="str"/>
      <x:c r="W159" s="30" t="str"/>
      <x:c r="X159" s="30" t="str"/>
      <x:c r="Y159" s="30" t="str">
        <x:v>Not Started</x:v>
      </x:c>
      <x:c r="Z159" s="30" t="str">
        <x:v>Gemini export retained its citation label but not the live URL. Recover a source URL during research.</x:v>
      </x:c>
    </x:row>
    <x:row r="160" ht="22" customHeight="1">
      <x:c r="A160" s="30" t="str">
        <x:v>Medford Wellington</x:v>
      </x:c>
      <x:c r="B160" s="30" t="str"/>
      <x:c r="C160" s="30" t="str"/>
      <x:c r="D160" s="30" t="str">
        <x:v>Medford</x:v>
      </x:c>
      <x:c r="E160" s="30" t="str">
        <x:v>MA</x:v>
      </x:c>
      <x:c r="F160" s="30" t="str"/>
      <x:c r="G160" s="30" t="str"/>
      <x:c r="H160" s="93" t="b">
        <x:v>1</x:v>
      </x:c>
      <x:c r="I160" s="30" t="str">
        <x:v>Skrapp</x:v>
      </x:c>
      <x:c r="J160" s="30" t="str">
        <x:v>Gemini.docx</x:v>
      </x:c>
      <x:c r="K160" s="30" t="str">
        <x:v>Employer / Grantee</x:v>
      </x:c>
      <x:c r="L160" s="30" t="str">
        <x:v>MassHire Metro North</x:v>
      </x:c>
      <x:c r="M160" s="30" t="str">
        <x:v>[cite: 29]</x:v>
      </x:c>
      <x:c r="N160" s="30" t="str"/>
      <x:c r="O160" s="87" t="n">
        <x:v>120080</x:v>
      </x:c>
      <x:c r="P160" s="90" t="n">
        <x:v>111</x:v>
      </x:c>
      <x:c r="Q160" s="30" t="str">
        <x:v>25 additional jobs</x:v>
      </x:c>
      <x:c r="R160" s="30" t="str"/>
      <x:c r="S160" s="30" t="str"/>
      <x:c r="T160" s="30" t="str"/>
      <x:c r="U160" s="30" t="str"/>
      <x:c r="V160" s="30" t="str"/>
      <x:c r="W160" s="30" t="str"/>
      <x:c r="X160" s="30" t="str"/>
      <x:c r="Y160" s="30" t="str">
        <x:v>Not Started</x:v>
      </x:c>
      <x:c r="Z160" s="30" t="str">
        <x:v>Gemini export retained its citation label but not the live URL. Recover a source URL during research.</x:v>
      </x:c>
    </x:row>
    <x:row r="161" ht="22" customHeight="1">
      <x:c r="A161" s="30" t="str">
        <x:v>Meninno Brothers Gourmet Foods</x:v>
      </x:c>
      <x:c r="B161" s="30" t="str"/>
      <x:c r="C161" s="30" t="str"/>
      <x:c r="D161" s="30" t="str">
        <x:v>Danvers</x:v>
      </x:c>
      <x:c r="E161" s="30" t="str">
        <x:v>MA</x:v>
      </x:c>
      <x:c r="F161" s="30" t="str"/>
      <x:c r="G161" s="30" t="str"/>
      <x:c r="H161" s="93" t="b">
        <x:v>1</x:v>
      </x:c>
      <x:c r="I161" s="30" t="str">
        <x:v>Skrapp</x:v>
      </x:c>
      <x:c r="J161" s="30" t="str">
        <x:v>Gemini.docx</x:v>
      </x:c>
      <x:c r="K161" s="30" t="str">
        <x:v>Employer / Grantee</x:v>
      </x:c>
      <x:c r="L161" s="30" t="str">
        <x:v>MassHire North Shore</x:v>
      </x:c>
      <x:c r="M161" s="30" t="str">
        <x:v>[cite: 27]</x:v>
      </x:c>
      <x:c r="N161" s="30" t="str"/>
      <x:c r="O161" s="87" t="n">
        <x:v>189100</x:v>
      </x:c>
      <x:c r="P161" s="90" t="n">
        <x:v>59</x:v>
      </x:c>
      <x:c r="Q161" s="30" t="str">
        <x:v>8 additional jobs</x:v>
      </x:c>
      <x:c r="R161" s="30" t="str"/>
      <x:c r="S161" s="30" t="str"/>
      <x:c r="T161" s="30" t="str"/>
      <x:c r="U161" s="30" t="str"/>
      <x:c r="V161" s="30" t="str"/>
      <x:c r="W161" s="30" t="str"/>
      <x:c r="X161" s="30" t="str"/>
      <x:c r="Y161" s="30" t="str">
        <x:v>Not Started</x:v>
      </x:c>
      <x:c r="Z161" s="30" t="str">
        <x:v>Gemini export retained its citation label but not the live URL. Recover a source URL during research.</x:v>
      </x:c>
    </x:row>
    <x:row r="162" ht="22" customHeight="1">
      <x:c r="A162" s="30" t="str">
        <x:v>Mide Technologies</x:v>
      </x:c>
      <x:c r="B162" s="30" t="str"/>
      <x:c r="C162" s="30" t="str"/>
      <x:c r="D162" s="30" t="str">
        <x:v>Woburn</x:v>
      </x:c>
      <x:c r="E162" s="30" t="str">
        <x:v>MA</x:v>
      </x:c>
      <x:c r="F162" s="30" t="str"/>
      <x:c r="G162" s="30" t="str"/>
      <x:c r="H162" s="93" t="b">
        <x:v>1</x:v>
      </x:c>
      <x:c r="I162" s="30" t="str">
        <x:v>Skrapp</x:v>
      </x:c>
      <x:c r="J162" s="30" t="str">
        <x:v>Gemini.docx</x:v>
      </x:c>
      <x:c r="K162" s="30" t="str">
        <x:v>Employer / Grantee</x:v>
      </x:c>
      <x:c r="L162" s="30" t="str">
        <x:v>MassHire Metro North</x:v>
      </x:c>
      <x:c r="M162" s="30" t="str">
        <x:v>[cite: 5]</x:v>
      </x:c>
      <x:c r="N162" s="30" t="str"/>
      <x:c r="O162" s="87" t="n">
        <x:v>72000</x:v>
      </x:c>
      <x:c r="P162" s="90" t="n">
        <x:v>42</x:v>
      </x:c>
      <x:c r="Q162" s="30" t="str">
        <x:v>4 additional jobs</x:v>
      </x:c>
      <x:c r="R162" s="30" t="str"/>
      <x:c r="S162" s="30" t="str"/>
      <x:c r="T162" s="30" t="str"/>
      <x:c r="U162" s="30" t="str"/>
      <x:c r="V162" s="30" t="str"/>
      <x:c r="W162" s="30" t="str"/>
      <x:c r="X162" s="30" t="str"/>
      <x:c r="Y162" s="30" t="str">
        <x:v>Not Started</x:v>
      </x:c>
      <x:c r="Z162" s="30" t="str">
        <x:v>Gemini export retained its citation label but not the live URL. Recover a source URL during research.</x:v>
      </x:c>
    </x:row>
    <x:row r="163" ht="22" customHeight="1">
      <x:c r="A163" s="30" t="str">
        <x:v>MKS Instruments</x:v>
      </x:c>
      <x:c r="B163" s="30" t="str"/>
      <x:c r="C163" s="30" t="str"/>
      <x:c r="D163" s="30" t="str">
        <x:v>Andover</x:v>
      </x:c>
      <x:c r="E163" s="30" t="str">
        <x:v>MA</x:v>
      </x:c>
      <x:c r="F163" s="30" t="str"/>
      <x:c r="G163" s="30" t="str"/>
      <x:c r="H163" s="93" t="b">
        <x:v>1</x:v>
      </x:c>
      <x:c r="I163" s="30" t="str">
        <x:v>Skrapp</x:v>
      </x:c>
      <x:c r="J163" s="30" t="str">
        <x:v>Gemini.docx</x:v>
      </x:c>
      <x:c r="K163" s="30" t="str">
        <x:v>Employer / Grantee</x:v>
      </x:c>
      <x:c r="L163" s="30" t="str">
        <x:v>MassHire Merrimack Valley</x:v>
      </x:c>
      <x:c r="M163" s="30" t="str">
        <x:v>[cite: 28, 29, 33]</x:v>
      </x:c>
      <x:c r="N163" s="30" t="str"/>
      <x:c r="O163" s="87" t="n">
        <x:v>95200</x:v>
      </x:c>
      <x:c r="P163" s="90" t="n">
        <x:v>100</x:v>
      </x:c>
      <x:c r="Q163" s="30" t="str">
        <x:v>None listed</x:v>
      </x:c>
      <x:c r="R163" s="30" t="str"/>
      <x:c r="S163" s="30" t="str"/>
      <x:c r="T163" s="30" t="str"/>
      <x:c r="U163" s="30" t="str"/>
      <x:c r="V163" s="30" t="str"/>
      <x:c r="W163" s="30" t="str"/>
      <x:c r="X163" s="30" t="str"/>
      <x:c r="Y163" s="30" t="str">
        <x:v>Not Started</x:v>
      </x:c>
      <x:c r="Z163" s="30" t="str">
        <x:v>Gemini export retained its citation label but not the live URL. Recover a source URL during research.</x:v>
      </x:c>
    </x:row>
    <x:row r="164" ht="22" customHeight="1">
      <x:c r="A164" s="30" t="str">
        <x:v>Monogram Foods</x:v>
      </x:c>
      <x:c r="B164" s="30" t="str"/>
      <x:c r="C164" s="30" t="str"/>
      <x:c r="D164" s="30" t="str">
        <x:v>Wilmington</x:v>
      </x:c>
      <x:c r="E164" s="30" t="str">
        <x:v>MA</x:v>
      </x:c>
      <x:c r="F164" s="30" t="str"/>
      <x:c r="G164" s="30" t="str"/>
      <x:c r="H164" s="93" t="b">
        <x:v>1</x:v>
      </x:c>
      <x:c r="I164" s="30" t="str">
        <x:v>Skrapp</x:v>
      </x:c>
      <x:c r="J164" s="30" t="str">
        <x:v>Gemini.docx</x:v>
      </x:c>
      <x:c r="K164" s="30" t="str">
        <x:v>Employer / Grantee</x:v>
      </x:c>
      <x:c r="L164" s="30" t="str">
        <x:v>MassHire Metro North</x:v>
      </x:c>
      <x:c r="M164" s="30" t="str">
        <x:v>[cite: 29]</x:v>
      </x:c>
      <x:c r="N164" s="30" t="str"/>
      <x:c r="O164" s="87" t="n">
        <x:v>136700</x:v>
      </x:c>
      <x:c r="P164" s="90" t="n">
        <x:v>47</x:v>
      </x:c>
      <x:c r="Q164" s="30" t="str">
        <x:v>15 additional jobs</x:v>
      </x:c>
      <x:c r="R164" s="30" t="str"/>
      <x:c r="S164" s="30" t="str"/>
      <x:c r="T164" s="30" t="str"/>
      <x:c r="U164" s="30" t="str"/>
      <x:c r="V164" s="30" t="str"/>
      <x:c r="W164" s="30" t="str"/>
      <x:c r="X164" s="30" t="str"/>
      <x:c r="Y164" s="30" t="str">
        <x:v>Not Started</x:v>
      </x:c>
      <x:c r="Z164" s="30" t="str">
        <x:v>Gemini export retained its citation label but not the live URL. Recover a source URL during research.</x:v>
      </x:c>
    </x:row>
    <x:row r="165" ht="22" customHeight="1">
      <x:c r="A165" s="30" t="str">
        <x:v>MSG Staffing Inc</x:v>
      </x:c>
      <x:c r="B165" s="30" t="str"/>
      <x:c r="C165" s="30" t="str"/>
      <x:c r="D165" s="30" t="str">
        <x:v>Worcester</x:v>
      </x:c>
      <x:c r="E165" s="30" t="str">
        <x:v>MA</x:v>
      </x:c>
      <x:c r="F165" s="30" t="str"/>
      <x:c r="G165" s="30" t="str"/>
      <x:c r="H165" s="93" t="b">
        <x:v>1</x:v>
      </x:c>
      <x:c r="I165" s="30" t="str">
        <x:v>Skrapp</x:v>
      </x:c>
      <x:c r="J165" s="30" t="str">
        <x:v>Gemini.docx</x:v>
      </x:c>
      <x:c r="K165" s="30" t="str">
        <x:v>Employer / Grantee</x:v>
      </x:c>
      <x:c r="L165" s="30" t="str">
        <x:v>MassHire Central MA</x:v>
      </x:c>
      <x:c r="M165" s="30" t="str">
        <x:v>[cite: 27]</x:v>
      </x:c>
      <x:c r="N165" s="30" t="str"/>
      <x:c r="O165" s="87" t="n">
        <x:v>96000</x:v>
      </x:c>
      <x:c r="P165" s="90" t="n">
        <x:v>161</x:v>
      </x:c>
      <x:c r="Q165" s="30" t="str">
        <x:v>75 additional jobs</x:v>
      </x:c>
      <x:c r="R165" s="30" t="str"/>
      <x:c r="S165" s="30" t="str"/>
      <x:c r="T165" s="30" t="str"/>
      <x:c r="U165" s="30" t="str"/>
      <x:c r="V165" s="30" t="str"/>
      <x:c r="W165" s="30" t="str"/>
      <x:c r="X165" s="30" t="str"/>
      <x:c r="Y165" s="30" t="str">
        <x:v>Not Started</x:v>
      </x:c>
      <x:c r="Z165" s="30" t="str">
        <x:v>Gemini export retained its citation label but not the live URL. Recover a source URL during research.</x:v>
      </x:c>
    </x:row>
    <x:row r="166" ht="22" customHeight="1">
      <x:c r="A166" s="30" t="str">
        <x:v>Munters Corporation</x:v>
      </x:c>
      <x:c r="B166" s="30" t="str"/>
      <x:c r="C166" s="30" t="str"/>
      <x:c r="D166" s="30" t="str">
        <x:v>Amesbury</x:v>
      </x:c>
      <x:c r="E166" s="30" t="str">
        <x:v>MA</x:v>
      </x:c>
      <x:c r="F166" s="30" t="str"/>
      <x:c r="G166" s="30" t="str"/>
      <x:c r="H166" s="93" t="b">
        <x:v>1</x:v>
      </x:c>
      <x:c r="I166" s="30" t="str">
        <x:v>Skrapp</x:v>
      </x:c>
      <x:c r="J166" s="30" t="str">
        <x:v>Gemini.docx</x:v>
      </x:c>
      <x:c r="K166" s="30" t="str">
        <x:v>Employer / Grantee</x:v>
      </x:c>
      <x:c r="L166" s="30" t="str">
        <x:v>MassHire Merrimack Valley</x:v>
      </x:c>
      <x:c r="M166" s="30" t="str">
        <x:v>[cite: 5]</x:v>
      </x:c>
      <x:c r="N166" s="30" t="str"/>
      <x:c r="O166" s="87" t="n">
        <x:v>60000</x:v>
      </x:c>
      <x:c r="P166" s="90" t="n">
        <x:v>51</x:v>
      </x:c>
      <x:c r="Q166" s="30" t="str">
        <x:v>20 additional jobs</x:v>
      </x:c>
      <x:c r="R166" s="30" t="str"/>
      <x:c r="S166" s="30" t="str"/>
      <x:c r="T166" s="30" t="str"/>
      <x:c r="U166" s="30" t="str"/>
      <x:c r="V166" s="30" t="str"/>
      <x:c r="W166" s="30" t="str"/>
      <x:c r="X166" s="30" t="str"/>
      <x:c r="Y166" s="30" t="str">
        <x:v>Not Started</x:v>
      </x:c>
      <x:c r="Z166" s="30" t="str">
        <x:v>Gemini export retained its citation label but not the live URL. Recover a source URL during research.</x:v>
      </x:c>
    </x:row>
    <x:row r="167" ht="22" customHeight="1">
      <x:c r="A167" s="30" t="str">
        <x:v>Nanoramic Laboratories</x:v>
      </x:c>
      <x:c r="B167" s="30" t="str"/>
      <x:c r="C167" s="30" t="str"/>
      <x:c r="D167" s="30" t="str">
        <x:v>Boston</x:v>
      </x:c>
      <x:c r="E167" s="30" t="str">
        <x:v>MA</x:v>
      </x:c>
      <x:c r="F167" s="30" t="str"/>
      <x:c r="G167" s="30" t="str"/>
      <x:c r="H167" s="93" t="b">
        <x:v>1</x:v>
      </x:c>
      <x:c r="I167" s="30" t="str">
        <x:v>Skrapp</x:v>
      </x:c>
      <x:c r="J167" s="30" t="str">
        <x:v>Gemini.docx</x:v>
      </x:c>
      <x:c r="K167" s="30" t="str">
        <x:v>Employer / Grantee</x:v>
      </x:c>
      <x:c r="L167" s="30" t="str">
        <x:v>MassHire Boston</x:v>
      </x:c>
      <x:c r="M167" s="30" t="str">
        <x:v>[cite: 56]</x:v>
      </x:c>
      <x:c r="N167" s="30" t="str"/>
      <x:c r="O167" s="87" t="n">
        <x:v>121100</x:v>
      </x:c>
      <x:c r="P167" s="90" t="n">
        <x:v>28</x:v>
      </x:c>
      <x:c r="Q167" s="30" t="str">
        <x:v>16 additional jobs</x:v>
      </x:c>
      <x:c r="R167" s="30" t="str"/>
      <x:c r="S167" s="30" t="str"/>
      <x:c r="T167" s="30" t="str"/>
      <x:c r="U167" s="30" t="str"/>
      <x:c r="V167" s="30" t="str"/>
      <x:c r="W167" s="30" t="str"/>
      <x:c r="X167" s="30" t="str"/>
      <x:c r="Y167" s="30" t="str">
        <x:v>Not Started</x:v>
      </x:c>
      <x:c r="Z167" s="30" t="str">
        <x:v>Gemini export retained its citation label but not the live URL. Recover a source URL during research.</x:v>
      </x:c>
    </x:row>
    <x:row r="168" ht="22" customHeight="1">
      <x:c r="A168" s="30" t="str">
        <x:v>NeuroLogica</x:v>
      </x:c>
      <x:c r="B168" s="30" t="str"/>
      <x:c r="C168" s="30" t="str"/>
      <x:c r="D168" s="30" t="str">
        <x:v>Danvers</x:v>
      </x:c>
      <x:c r="E168" s="30" t="str">
        <x:v>MA</x:v>
      </x:c>
      <x:c r="F168" s="30" t="str"/>
      <x:c r="G168" s="30" t="str"/>
      <x:c r="H168" s="93" t="b">
        <x:v>1</x:v>
      </x:c>
      <x:c r="I168" s="30" t="str">
        <x:v>Skrapp</x:v>
      </x:c>
      <x:c r="J168" s="30" t="str">
        <x:v>Gemini.docx</x:v>
      </x:c>
      <x:c r="K168" s="30" t="str">
        <x:v>Employer / Grantee</x:v>
      </x:c>
      <x:c r="L168" s="30" t="str">
        <x:v>MassHire North Shore</x:v>
      </x:c>
      <x:c r="M168" s="30" t="str">
        <x:v>[cite: 29, 33]</x:v>
      </x:c>
      <x:c r="N168" s="30" t="str"/>
      <x:c r="O168" s="87" t="n">
        <x:v>126500</x:v>
      </x:c>
      <x:c r="P168" s="90" t="n">
        <x:v>64</x:v>
      </x:c>
      <x:c r="Q168" s="30" t="str">
        <x:v>10 additional jobs</x:v>
      </x:c>
      <x:c r="R168" s="30" t="str"/>
      <x:c r="S168" s="30" t="str"/>
      <x:c r="T168" s="30" t="str"/>
      <x:c r="U168" s="30" t="str"/>
      <x:c r="V168" s="30" t="str"/>
      <x:c r="W168" s="30" t="str"/>
      <x:c r="X168" s="30" t="str"/>
      <x:c r="Y168" s="30" t="str">
        <x:v>Not Started</x:v>
      </x:c>
      <x:c r="Z168" s="30" t="str">
        <x:v>Gemini export retained its citation label but not the live URL. Recover a source URL during research.</x:v>
      </x:c>
    </x:row>
    <x:row r="169" ht="22" customHeight="1">
      <x:c r="A169" s="30" t="str">
        <x:v>New England Appliance Group</x:v>
      </x:c>
      <x:c r="B169" s="30" t="str"/>
      <x:c r="C169" s="30" t="str"/>
      <x:c r="D169" s="30" t="str">
        <x:v>Franklin</x:v>
      </x:c>
      <x:c r="E169" s="30" t="str">
        <x:v>MA</x:v>
      </x:c>
      <x:c r="F169" s="30" t="str"/>
      <x:c r="G169" s="30" t="str"/>
      <x:c r="H169" s="93" t="b">
        <x:v>1</x:v>
      </x:c>
      <x:c r="I169" s="30" t="str">
        <x:v>Skrapp</x:v>
      </x:c>
      <x:c r="J169" s="30" t="str">
        <x:v>Gemini.docx</x:v>
      </x:c>
      <x:c r="K169" s="30" t="str">
        <x:v>Employer / Grantee</x:v>
      </x:c>
      <x:c r="L169" s="30" t="str">
        <x:v>MassHire Central MA</x:v>
      </x:c>
      <x:c r="M169" s="30" t="str">
        <x:v>[cite: 29, 33]</x:v>
      </x:c>
      <x:c r="N169" s="30" t="str"/>
      <x:c r="O169" s="87" t="n">
        <x:v>145245</x:v>
      </x:c>
      <x:c r="P169" s="90" t="n">
        <x:v>67</x:v>
      </x:c>
      <x:c r="Q169" s="30" t="str">
        <x:v>6 additional jobs</x:v>
      </x:c>
      <x:c r="R169" s="30" t="str"/>
      <x:c r="S169" s="30" t="str"/>
      <x:c r="T169" s="30" t="str"/>
      <x:c r="U169" s="30" t="str"/>
      <x:c r="V169" s="30" t="str"/>
      <x:c r="W169" s="30" t="str"/>
      <x:c r="X169" s="30" t="str"/>
      <x:c r="Y169" s="30" t="str">
        <x:v>Not Started</x:v>
      </x:c>
      <x:c r="Z169" s="30" t="str">
        <x:v>Gemini export retained its citation label but not the live URL. Recover a source URL during research.</x:v>
      </x:c>
    </x:row>
    <x:row r="170" ht="22" customHeight="1">
      <x:c r="A170" s="30" t="str">
        <x:v>Nitor</x:v>
      </x:c>
      <x:c r="B170" s="30" t="str"/>
      <x:c r="C170" s="30" t="str"/>
      <x:c r="D170" s="30" t="str">
        <x:v>Southwick</x:v>
      </x:c>
      <x:c r="E170" s="30" t="str">
        <x:v>MA</x:v>
      </x:c>
      <x:c r="F170" s="30" t="str"/>
      <x:c r="G170" s="30" t="str"/>
      <x:c r="H170" s="93" t="b">
        <x:v>1</x:v>
      </x:c>
      <x:c r="I170" s="30" t="str">
        <x:v>Skrapp</x:v>
      </x:c>
      <x:c r="J170" s="30" t="str">
        <x:v>Gemini.docx</x:v>
      </x:c>
      <x:c r="K170" s="30" t="str">
        <x:v>Employer / Grantee</x:v>
      </x:c>
      <x:c r="L170" s="30" t="str">
        <x:v>MassHire Hampden</x:v>
      </x:c>
      <x:c r="M170" s="30" t="str">
        <x:v>[cite: 29]</x:v>
      </x:c>
      <x:c r="N170" s="30" t="str"/>
      <x:c r="O170" s="87" t="n">
        <x:v>79900</x:v>
      </x:c>
      <x:c r="P170" s="90" t="n">
        <x:v>10</x:v>
      </x:c>
      <x:c r="Q170" s="30" t="str">
        <x:v>1 additional job</x:v>
      </x:c>
      <x:c r="R170" s="30" t="str"/>
      <x:c r="S170" s="30" t="str"/>
      <x:c r="T170" s="30" t="str"/>
      <x:c r="U170" s="30" t="str"/>
      <x:c r="V170" s="30" t="str"/>
      <x:c r="W170" s="30" t="str"/>
      <x:c r="X170" s="30" t="str"/>
      <x:c r="Y170" s="30" t="str">
        <x:v>Not Started</x:v>
      </x:c>
      <x:c r="Z170" s="30" t="str">
        <x:v>Gemini export retained its citation label but not the live URL. Recover a source URL during research.</x:v>
      </x:c>
    </x:row>
    <x:row r="171" ht="22" customHeight="1">
      <x:c r="A171" s="30" t="str">
        <x:v>Northern Tree Service</x:v>
      </x:c>
      <x:c r="B171" s="30" t="str"/>
      <x:c r="C171" s="30" t="str"/>
      <x:c r="D171" s="30" t="str">
        <x:v>Palmer</x:v>
      </x:c>
      <x:c r="E171" s="30" t="str">
        <x:v>MA</x:v>
      </x:c>
      <x:c r="F171" s="30" t="str"/>
      <x:c r="G171" s="30" t="str"/>
      <x:c r="H171" s="93" t="b">
        <x:v>1</x:v>
      </x:c>
      <x:c r="I171" s="30" t="str">
        <x:v>Skrapp</x:v>
      </x:c>
      <x:c r="J171" s="30" t="str">
        <x:v>Gemini.docx</x:v>
      </x:c>
      <x:c r="K171" s="30" t="str">
        <x:v>Employer / Grantee</x:v>
      </x:c>
      <x:c r="L171" s="30" t="str">
        <x:v>MassHire Hampden</x:v>
      </x:c>
      <x:c r="M171" s="30" t="str">
        <x:v>[cite: 5]</x:v>
      </x:c>
      <x:c r="N171" s="30" t="str"/>
      <x:c r="O171" s="87" t="n">
        <x:v>124800</x:v>
      </x:c>
      <x:c r="P171" s="90" t="n">
        <x:v>60</x:v>
      </x:c>
      <x:c r="Q171" s="30" t="str">
        <x:v>25 additional jobs</x:v>
      </x:c>
      <x:c r="R171" s="30" t="str"/>
      <x:c r="S171" s="30" t="str"/>
      <x:c r="T171" s="30" t="str"/>
      <x:c r="U171" s="30" t="str"/>
      <x:c r="V171" s="30" t="str"/>
      <x:c r="W171" s="30" t="str"/>
      <x:c r="X171" s="30" t="str"/>
      <x:c r="Y171" s="30" t="str">
        <x:v>Not Started</x:v>
      </x:c>
      <x:c r="Z171" s="30" t="str">
        <x:v>Gemini export retained its citation label but not the live URL. Recover a source URL during research.</x:v>
      </x:c>
    </x:row>
    <x:row r="172" ht="22" customHeight="1">
      <x:c r="A172" s="30" t="str">
        <x:v>Nuclera Corporation</x:v>
      </x:c>
      <x:c r="B172" s="30" t="str"/>
      <x:c r="C172" s="30" t="str"/>
      <x:c r="D172" s="30" t="str">
        <x:v>Billerica</x:v>
      </x:c>
      <x:c r="E172" s="30" t="str">
        <x:v>MA</x:v>
      </x:c>
      <x:c r="F172" s="30" t="str"/>
      <x:c r="G172" s="30" t="str"/>
      <x:c r="H172" s="93" t="b">
        <x:v>1</x:v>
      </x:c>
      <x:c r="I172" s="30" t="str">
        <x:v>Skrapp</x:v>
      </x:c>
      <x:c r="J172" s="30" t="str">
        <x:v>Gemini.docx</x:v>
      </x:c>
      <x:c r="K172" s="30" t="str">
        <x:v>Employer / Grantee</x:v>
      </x:c>
      <x:c r="L172" s="30" t="str">
        <x:v>MassHire Greater Lowell</x:v>
      </x:c>
      <x:c r="M172" s="30" t="str">
        <x:v>[cite: 27]</x:v>
      </x:c>
      <x:c r="N172" s="30" t="str"/>
      <x:c r="O172" s="87" t="n">
        <x:v>198839</x:v>
      </x:c>
      <x:c r="P172" s="90" t="n">
        <x:v>28</x:v>
      </x:c>
      <x:c r="Q172" s="30" t="str">
        <x:v>12 additional jobs</x:v>
      </x:c>
      <x:c r="R172" s="30" t="str"/>
      <x:c r="S172" s="30" t="str"/>
      <x:c r="T172" s="30" t="str"/>
      <x:c r="U172" s="30" t="str"/>
      <x:c r="V172" s="30" t="str"/>
      <x:c r="W172" s="30" t="str"/>
      <x:c r="X172" s="30" t="str"/>
      <x:c r="Y172" s="30" t="str">
        <x:v>Not Started</x:v>
      </x:c>
      <x:c r="Z172" s="30" t="str">
        <x:v>Gemini export retained its citation label but not the live URL. Recover a source URL during research.</x:v>
      </x:c>
    </x:row>
    <x:row r="173" ht="22" customHeight="1">
      <x:c r="A173" s="30" t="str">
        <x:v>Onto Innovation</x:v>
      </x:c>
      <x:c r="B173" s="30" t="str"/>
      <x:c r="C173" s="30" t="str"/>
      <x:c r="D173" s="30" t="str">
        <x:v>Wilmington</x:v>
      </x:c>
      <x:c r="E173" s="30" t="str">
        <x:v>MA</x:v>
      </x:c>
      <x:c r="F173" s="30" t="str"/>
      <x:c r="G173" s="30" t="str"/>
      <x:c r="H173" s="93" t="b">
        <x:v>1</x:v>
      </x:c>
      <x:c r="I173" s="30" t="str">
        <x:v>Skrapp</x:v>
      </x:c>
      <x:c r="J173" s="30" t="str">
        <x:v>Gemini.docx</x:v>
      </x:c>
      <x:c r="K173" s="30" t="str">
        <x:v>Employer / Grantee</x:v>
      </x:c>
      <x:c r="L173" s="30" t="str">
        <x:v>MassHire Metro North</x:v>
      </x:c>
      <x:c r="M173" s="30" t="str">
        <x:v>[cite: 29]</x:v>
      </x:c>
      <x:c r="N173" s="30" t="str"/>
      <x:c r="O173" s="87" t="n">
        <x:v>70000</x:v>
      </x:c>
      <x:c r="P173" s="90" t="n">
        <x:v>57</x:v>
      </x:c>
      <x:c r="Q173" s="30" t="str">
        <x:v>20 additional jobs</x:v>
      </x:c>
      <x:c r="R173" s="30" t="str"/>
      <x:c r="S173" s="30" t="str"/>
      <x:c r="T173" s="30" t="str"/>
      <x:c r="U173" s="30" t="str"/>
      <x:c r="V173" s="30" t="str"/>
      <x:c r="W173" s="30" t="str"/>
      <x:c r="X173" s="30" t="str"/>
      <x:c r="Y173" s="30" t="str">
        <x:v>Not Started</x:v>
      </x:c>
      <x:c r="Z173" s="30" t="str">
        <x:v>Gemini export retained its citation label but not the live URL. Recover a source URL during research.</x:v>
      </x:c>
    </x:row>
    <x:row r="174" ht="22" customHeight="1">
      <x:c r="A174" s="30" t="str">
        <x:v>Optikos</x:v>
      </x:c>
      <x:c r="B174" s="30" t="str"/>
      <x:c r="C174" s="30" t="str"/>
      <x:c r="D174" s="30" t="str">
        <x:v>Wakefield</x:v>
      </x:c>
      <x:c r="E174" s="30" t="str">
        <x:v>MA</x:v>
      </x:c>
      <x:c r="F174" s="30" t="str"/>
      <x:c r="G174" s="30" t="str"/>
      <x:c r="H174" s="93" t="b">
        <x:v>1</x:v>
      </x:c>
      <x:c r="I174" s="30" t="str">
        <x:v>Skrapp</x:v>
      </x:c>
      <x:c r="J174" s="30" t="str">
        <x:v>Gemini.docx</x:v>
      </x:c>
      <x:c r="K174" s="30" t="str">
        <x:v>Employer / Grantee</x:v>
      </x:c>
      <x:c r="L174" s="30" t="str">
        <x:v>MassHire Metro North</x:v>
      </x:c>
      <x:c r="M174" s="30" t="str">
        <x:v>[cite: 28, 29]</x:v>
      </x:c>
      <x:c r="N174" s="30" t="str"/>
      <x:c r="O174" s="87" t="n">
        <x:v>165375</x:v>
      </x:c>
      <x:c r="P174" s="90" t="n">
        <x:v>81</x:v>
      </x:c>
      <x:c r="Q174" s="30" t="str">
        <x:v>10 additional jobs</x:v>
      </x:c>
      <x:c r="R174" s="30" t="str"/>
      <x:c r="S174" s="30" t="str"/>
      <x:c r="T174" s="30" t="str"/>
      <x:c r="U174" s="30" t="str"/>
      <x:c r="V174" s="30" t="str"/>
      <x:c r="W174" s="30" t="str"/>
      <x:c r="X174" s="30" t="str"/>
      <x:c r="Y174" s="30" t="str">
        <x:v>Not Started</x:v>
      </x:c>
      <x:c r="Z174" s="30" t="str">
        <x:v>Gemini export retained its citation label but not the live URL. Recover a source URL during research.</x:v>
      </x:c>
    </x:row>
    <x:row r="175" ht="22" customHeight="1">
      <x:c r="A175" s="30" t="str">
        <x:v>Outdoor Pride Landscaping</x:v>
      </x:c>
      <x:c r="B175" s="30" t="str"/>
      <x:c r="C175" s="30" t="str"/>
      <x:c r="D175" s="30" t="str">
        <x:v>Chelmsford</x:v>
      </x:c>
      <x:c r="E175" s="30" t="str">
        <x:v>MA</x:v>
      </x:c>
      <x:c r="F175" s="30" t="str"/>
      <x:c r="G175" s="30" t="str"/>
      <x:c r="H175" s="93" t="b">
        <x:v>1</x:v>
      </x:c>
      <x:c r="I175" s="30" t="str">
        <x:v>Skrapp</x:v>
      </x:c>
      <x:c r="J175" s="30" t="str">
        <x:v>Gemini.docx</x:v>
      </x:c>
      <x:c r="K175" s="30" t="str">
        <x:v>Employer / Grantee</x:v>
      </x:c>
      <x:c r="L175" s="30" t="str">
        <x:v>MassHire Greater Lowell</x:v>
      </x:c>
      <x:c r="M175" s="30" t="str">
        <x:v>[cite: 27]</x:v>
      </x:c>
      <x:c r="N175" s="30" t="str"/>
      <x:c r="O175" s="87" t="n">
        <x:v>46000</x:v>
      </x:c>
      <x:c r="P175" s="90" t="n">
        <x:v>58</x:v>
      </x:c>
      <x:c r="Q175" s="30" t="str">
        <x:v>20 additional jobs</x:v>
      </x:c>
      <x:c r="R175" s="30" t="str"/>
      <x:c r="S175" s="30" t="str"/>
      <x:c r="T175" s="30" t="str"/>
      <x:c r="U175" s="30" t="str"/>
      <x:c r="V175" s="30" t="str"/>
      <x:c r="W175" s="30" t="str"/>
      <x:c r="X175" s="30" t="str"/>
      <x:c r="Y175" s="30" t="str">
        <x:v>Not Started</x:v>
      </x:c>
      <x:c r="Z175" s="30" t="str">
        <x:v>Gemini export retained its citation label but not the live URL. Recover a source URL during research.</x:v>
      </x:c>
    </x:row>
    <x:row r="176" ht="22" customHeight="1">
      <x:c r="A176" s="30" t="str">
        <x:v>PBNA</x:v>
      </x:c>
      <x:c r="B176" s="30" t="str"/>
      <x:c r="C176" s="30" t="str"/>
      <x:c r="D176" s="30" t="str">
        <x:v>Norwood</x:v>
      </x:c>
      <x:c r="E176" s="30" t="str">
        <x:v>MA</x:v>
      </x:c>
      <x:c r="F176" s="30" t="str"/>
      <x:c r="G176" s="30" t="str"/>
      <x:c r="H176" s="93" t="b">
        <x:v>1</x:v>
      </x:c>
      <x:c r="I176" s="30" t="str">
        <x:v>Skrapp</x:v>
      </x:c>
      <x:c r="J176" s="30" t="str">
        <x:v>Gemini.docx</x:v>
      </x:c>
      <x:c r="K176" s="30" t="str">
        <x:v>Employer / Grantee</x:v>
      </x:c>
      <x:c r="L176" s="30" t="str">
        <x:v>MassHire Metro South/West</x:v>
      </x:c>
      <x:c r="M176" s="30" t="str">
        <x:v>[cite: 27]</x:v>
      </x:c>
      <x:c r="N176" s="30" t="str"/>
      <x:c r="O176" s="87" t="n">
        <x:v>15600</x:v>
      </x:c>
      <x:c r="P176" s="90" t="n">
        <x:v>9</x:v>
      </x:c>
      <x:c r="Q176" s="30" t="str">
        <x:v>3 additional jobs</x:v>
      </x:c>
      <x:c r="R176" s="30" t="str"/>
      <x:c r="S176" s="30" t="str"/>
      <x:c r="T176" s="30" t="str"/>
      <x:c r="U176" s="30" t="str"/>
      <x:c r="V176" s="30" t="str"/>
      <x:c r="W176" s="30" t="str"/>
      <x:c r="X176" s="30" t="str"/>
      <x:c r="Y176" s="30" t="str">
        <x:v>Not Started</x:v>
      </x:c>
      <x:c r="Z176" s="30" t="str">
        <x:v>Gemini export retained its citation label but not the live URL. Recover a source URL during research.</x:v>
      </x:c>
    </x:row>
    <x:row r="177" ht="22" customHeight="1">
      <x:c r="A177" s="30" t="str">
        <x:v>Plansee USA</x:v>
      </x:c>
      <x:c r="B177" s="30" t="str"/>
      <x:c r="C177" s="30" t="str"/>
      <x:c r="D177" s="30" t="str">
        <x:v>Franklin</x:v>
      </x:c>
      <x:c r="E177" s="30" t="str">
        <x:v>MA</x:v>
      </x:c>
      <x:c r="F177" s="30" t="str"/>
      <x:c r="G177" s="30" t="str"/>
      <x:c r="H177" s="93" t="b">
        <x:v>1</x:v>
      </x:c>
      <x:c r="I177" s="30" t="str">
        <x:v>Skrapp</x:v>
      </x:c>
      <x:c r="J177" s="30" t="str">
        <x:v>Gemini.docx</x:v>
      </x:c>
      <x:c r="K177" s="30" t="str">
        <x:v>Employer / Grantee</x:v>
      </x:c>
      <x:c r="L177" s="30" t="str">
        <x:v>MassHire Central MA</x:v>
      </x:c>
      <x:c r="M177" s="30" t="str">
        <x:v>[cite: 29, 33]</x:v>
      </x:c>
      <x:c r="N177" s="30" t="str"/>
      <x:c r="O177" s="87" t="n">
        <x:v>19600</x:v>
      </x:c>
      <x:c r="P177" s="90" t="n">
        <x:v>15</x:v>
      </x:c>
      <x:c r="Q177" s="30" t="str">
        <x:v>5 additional jobs</x:v>
      </x:c>
      <x:c r="R177" s="30" t="str"/>
      <x:c r="S177" s="30" t="str"/>
      <x:c r="T177" s="30" t="str"/>
      <x:c r="U177" s="30" t="str"/>
      <x:c r="V177" s="30" t="str"/>
      <x:c r="W177" s="30" t="str"/>
      <x:c r="X177" s="30" t="str"/>
      <x:c r="Y177" s="30" t="str">
        <x:v>Not Started</x:v>
      </x:c>
      <x:c r="Z177" s="30" t="str">
        <x:v>Gemini export retained its citation label but not the live URL. Recover a source URL during research.</x:v>
      </x:c>
    </x:row>
    <x:row r="178" ht="22" customHeight="1">
      <x:c r="A178" s="30" t="str">
        <x:v>Polyvinyl Films</x:v>
      </x:c>
      <x:c r="B178" s="30" t="str"/>
      <x:c r="C178" s="30" t="str"/>
      <x:c r="D178" s="30" t="str">
        <x:v>Sutton</x:v>
      </x:c>
      <x:c r="E178" s="30" t="str">
        <x:v>MA</x:v>
      </x:c>
      <x:c r="F178" s="30" t="str"/>
      <x:c r="G178" s="30" t="str"/>
      <x:c r="H178" s="93" t="b">
        <x:v>1</x:v>
      </x:c>
      <x:c r="I178" s="30" t="str">
        <x:v>Skrapp</x:v>
      </x:c>
      <x:c r="J178" s="30" t="str">
        <x:v>Gemini.docx</x:v>
      </x:c>
      <x:c r="K178" s="30" t="str">
        <x:v>Employer / Grantee</x:v>
      </x:c>
      <x:c r="L178" s="30" t="str">
        <x:v>MassHire Central MA</x:v>
      </x:c>
      <x:c r="M178" s="30" t="str">
        <x:v>[cite: 29]</x:v>
      </x:c>
      <x:c r="N178" s="30" t="str"/>
      <x:c r="O178" s="87" t="n">
        <x:v>197450</x:v>
      </x:c>
      <x:c r="P178" s="90" t="n">
        <x:v>90</x:v>
      </x:c>
      <x:c r="Q178" s="30" t="str">
        <x:v>None listed</x:v>
      </x:c>
      <x:c r="R178" s="30" t="str"/>
      <x:c r="S178" s="30" t="str"/>
      <x:c r="T178" s="30" t="str"/>
      <x:c r="U178" s="30" t="str"/>
      <x:c r="V178" s="30" t="str"/>
      <x:c r="W178" s="30" t="str"/>
      <x:c r="X178" s="30" t="str"/>
      <x:c r="Y178" s="30" t="str">
        <x:v>Not Started</x:v>
      </x:c>
      <x:c r="Z178" s="30" t="str">
        <x:v>Gemini export retained its citation label but not the live URL. Recover a source URL during research.</x:v>
      </x:c>
    </x:row>
    <x:row r="179" ht="22" customHeight="1">
      <x:c r="A179" s="30" t="str">
        <x:v>Precision Coating</x:v>
      </x:c>
      <x:c r="B179" s="30" t="str"/>
      <x:c r="C179" s="30" t="str"/>
      <x:c r="D179" s="30" t="str">
        <x:v>Hudson</x:v>
      </x:c>
      <x:c r="E179" s="30" t="str">
        <x:v>MA</x:v>
      </x:c>
      <x:c r="F179" s="30" t="str"/>
      <x:c r="G179" s="30" t="str"/>
      <x:c r="H179" s="93" t="b">
        <x:v>1</x:v>
      </x:c>
      <x:c r="I179" s="30" t="str">
        <x:v>Skrapp</x:v>
      </x:c>
      <x:c r="J179" s="30" t="str">
        <x:v>Gemini.docx</x:v>
      </x:c>
      <x:c r="K179" s="30" t="str">
        <x:v>Employer / Grantee</x:v>
      </x:c>
      <x:c r="L179" s="30" t="str">
        <x:v>MassHire Metro South/West</x:v>
      </x:c>
      <x:c r="M179" s="30" t="str">
        <x:v>[cite: 29, 33]</x:v>
      </x:c>
      <x:c r="N179" s="30" t="str"/>
      <x:c r="O179" s="87" t="n">
        <x:v>182350</x:v>
      </x:c>
      <x:c r="P179" s="90" t="n">
        <x:v>40</x:v>
      </x:c>
      <x:c r="Q179" s="30" t="str">
        <x:v>4 additional jobs</x:v>
      </x:c>
      <x:c r="R179" s="30" t="str"/>
      <x:c r="S179" s="30" t="str"/>
      <x:c r="T179" s="30" t="str"/>
      <x:c r="U179" s="30" t="str"/>
      <x:c r="V179" s="30" t="str"/>
      <x:c r="W179" s="30" t="str"/>
      <x:c r="X179" s="30" t="str"/>
      <x:c r="Y179" s="30" t="str">
        <x:v>Not Started</x:v>
      </x:c>
      <x:c r="Z179" s="30" t="str">
        <x:v>Gemini export retained its citation label but not the live URL. Recover a source URL during research.</x:v>
      </x:c>
    </x:row>
    <x:row r="180" ht="22" customHeight="1">
      <x:c r="A180" s="30" t="str">
        <x:v>Premier Fence</x:v>
      </x:c>
      <x:c r="B180" s="30" t="str"/>
      <x:c r="C180" s="30" t="str"/>
      <x:c r="D180" s="30" t="str">
        <x:v>Canton</x:v>
      </x:c>
      <x:c r="E180" s="30" t="str">
        <x:v>MA</x:v>
      </x:c>
      <x:c r="F180" s="30" t="str"/>
      <x:c r="G180" s="30" t="str"/>
      <x:c r="H180" s="93" t="b">
        <x:v>1</x:v>
      </x:c>
      <x:c r="I180" s="30" t="str">
        <x:v>Skrapp</x:v>
      </x:c>
      <x:c r="J180" s="30" t="str">
        <x:v>Gemini.docx</x:v>
      </x:c>
      <x:c r="K180" s="30" t="str">
        <x:v>Employer / Grantee</x:v>
      </x:c>
      <x:c r="L180" s="30" t="str">
        <x:v>MassHire South Shore</x:v>
      </x:c>
      <x:c r="M180" s="30" t="str">
        <x:v>[cite: 5]</x:v>
      </x:c>
      <x:c r="N180" s="30" t="str"/>
      <x:c r="O180" s="87" t="n">
        <x:v>111800</x:v>
      </x:c>
      <x:c r="P180" s="90" t="n">
        <x:v>91</x:v>
      </x:c>
      <x:c r="Q180" s="30" t="str">
        <x:v>16 additional jobs</x:v>
      </x:c>
      <x:c r="R180" s="30" t="str"/>
      <x:c r="S180" s="30" t="str"/>
      <x:c r="T180" s="30" t="str"/>
      <x:c r="U180" s="30" t="str"/>
      <x:c r="V180" s="30" t="str"/>
      <x:c r="W180" s="30" t="str"/>
      <x:c r="X180" s="30" t="str"/>
      <x:c r="Y180" s="30" t="str">
        <x:v>Not Started</x:v>
      </x:c>
      <x:c r="Z180" s="30" t="str">
        <x:v>Gemini export retained its citation label but not the live URL. Recover a source URL during research.</x:v>
      </x:c>
    </x:row>
    <x:row r="181" ht="22" customHeight="1">
      <x:c r="A181" s="30" t="str">
        <x:v>Primetals Technologies</x:v>
      </x:c>
      <x:c r="B181" s="30" t="str"/>
      <x:c r="C181" s="30" t="str"/>
      <x:c r="D181" s="30" t="str">
        <x:v>Sutton</x:v>
      </x:c>
      <x:c r="E181" s="30" t="str">
        <x:v>MA</x:v>
      </x:c>
      <x:c r="F181" s="30" t="str"/>
      <x:c r="G181" s="30" t="str"/>
      <x:c r="H181" s="93" t="b">
        <x:v>1</x:v>
      </x:c>
      <x:c r="I181" s="30" t="str">
        <x:v>Snov</x:v>
      </x:c>
      <x:c r="J181" s="30" t="str">
        <x:v>Gemini.docx</x:v>
      </x:c>
      <x:c r="K181" s="30" t="str">
        <x:v>Employer / Grantee</x:v>
      </x:c>
      <x:c r="L181" s="30" t="str">
        <x:v>MassHire Central MA</x:v>
      </x:c>
      <x:c r="M181" s="30" t="str">
        <x:v>[cite: 27]</x:v>
      </x:c>
      <x:c r="N181" s="30" t="str"/>
      <x:c r="O181" s="87" t="n">
        <x:v>77700</x:v>
      </x:c>
      <x:c r="P181" s="90" t="n">
        <x:v>64</x:v>
      </x:c>
      <x:c r="Q181" s="30" t="str">
        <x:v>3 additional jobs</x:v>
      </x:c>
      <x:c r="R181" s="30" t="str"/>
      <x:c r="S181" s="30" t="str"/>
      <x:c r="T181" s="30" t="str"/>
      <x:c r="U181" s="30" t="str"/>
      <x:c r="V181" s="30" t="str"/>
      <x:c r="W181" s="30" t="str"/>
      <x:c r="X181" s="30" t="str"/>
      <x:c r="Y181" s="30" t="str">
        <x:v>Not Started</x:v>
      </x:c>
      <x:c r="Z181" s="30" t="str">
        <x:v>Gemini export retained its citation label but not the live URL. Recover a source URL during research.</x:v>
      </x:c>
    </x:row>
    <x:row r="182" ht="22" customHeight="1">
      <x:c r="A182" s="30" t="str">
        <x:v>QPS</x:v>
      </x:c>
      <x:c r="B182" s="30" t="str"/>
      <x:c r="C182" s="30" t="str"/>
      <x:c r="D182" s="30" t="str">
        <x:v>Statewide</x:v>
      </x:c>
      <x:c r="E182" s="30" t="str">
        <x:v>MA</x:v>
      </x:c>
      <x:c r="F182" s="30" t="str"/>
      <x:c r="G182" s="30" t="str"/>
      <x:c r="H182" s="93" t="b">
        <x:v>1</x:v>
      </x:c>
      <x:c r="I182" s="30" t="str">
        <x:v>Snov</x:v>
      </x:c>
      <x:c r="J182" s="30" t="str">
        <x:v>Gemini.docx</x:v>
      </x:c>
      <x:c r="K182" s="30" t="str">
        <x:v>Employer / Grantee</x:v>
      </x:c>
      <x:c r="L182" s="30" t="str">
        <x:v>Consolidated</x:v>
      </x:c>
      <x:c r="M182" s="30" t="str">
        <x:v>[cite: 41]</x:v>
      </x:c>
      <x:c r="N182" s="30" t="str"/>
      <x:c r="O182" s="87" t="n">
        <x:v>15000</x:v>
      </x:c>
      <x:c r="P182" s="90"/>
      <x:c r="Q182" s="30" t="str">
        <x:v>Lean &amp; ISO Upgrades</x:v>
      </x:c>
      <x:c r="R182" s="30" t="str"/>
      <x:c r="S182" s="30" t="str"/>
      <x:c r="T182" s="30" t="str"/>
      <x:c r="U182" s="30" t="str"/>
      <x:c r="V182" s="30" t="str"/>
      <x:c r="W182" s="30" t="str"/>
      <x:c r="X182" s="30" t="str"/>
      <x:c r="Y182" s="30" t="str">
        <x:v>Not Started</x:v>
      </x:c>
      <x:c r="Z182" s="30" t="str">
        <x:v>Gemini export retained its citation label but not the live URL. Recover a source URL during research.</x:v>
      </x:c>
    </x:row>
    <x:row r="183" ht="22" customHeight="1">
      <x:c r="A183" s="30" t="str">
        <x:v>Quanterix</x:v>
      </x:c>
      <x:c r="B183" s="30" t="str"/>
      <x:c r="C183" s="30" t="str"/>
      <x:c r="D183" s="30" t="str">
        <x:v>Billerica</x:v>
      </x:c>
      <x:c r="E183" s="30" t="str">
        <x:v>MA</x:v>
      </x:c>
      <x:c r="F183" s="30" t="str"/>
      <x:c r="G183" s="30" t="str"/>
      <x:c r="H183" s="93" t="b">
        <x:v>1</x:v>
      </x:c>
      <x:c r="I183" s="30" t="str">
        <x:v>Snov</x:v>
      </x:c>
      <x:c r="J183" s="30" t="str">
        <x:v>Gemini.docx</x:v>
      </x:c>
      <x:c r="K183" s="30" t="str">
        <x:v>Employer / Grantee</x:v>
      </x:c>
      <x:c r="L183" s="30" t="str">
        <x:v>MassHire Greater Lowell</x:v>
      </x:c>
      <x:c r="M183" s="30" t="str">
        <x:v>[cite: 29, 33]</x:v>
      </x:c>
      <x:c r="N183" s="30" t="str"/>
      <x:c r="O183" s="87" t="n">
        <x:v>196700</x:v>
      </x:c>
      <x:c r="P183" s="90" t="n">
        <x:v>94</x:v>
      </x:c>
      <x:c r="Q183" s="30" t="str">
        <x:v>75 additional jobs</x:v>
      </x:c>
      <x:c r="R183" s="30" t="str"/>
      <x:c r="S183" s="30" t="str"/>
      <x:c r="T183" s="30" t="str"/>
      <x:c r="U183" s="30" t="str"/>
      <x:c r="V183" s="30" t="str"/>
      <x:c r="W183" s="30" t="str"/>
      <x:c r="X183" s="30" t="str"/>
      <x:c r="Y183" s="30" t="str">
        <x:v>Not Started</x:v>
      </x:c>
      <x:c r="Z183" s="30" t="str">
        <x:v>Gemini export retained its citation label but not the live URL. Recover a source URL during research.</x:v>
      </x:c>
    </x:row>
    <x:row r="184" ht="22" customHeight="1">
      <x:c r="A184" s="30" t="str">
        <x:v>R. H. White Companies</x:v>
      </x:c>
      <x:c r="B184" s="30" t="str"/>
      <x:c r="C184" s="30" t="str"/>
      <x:c r="D184" s="30" t="str">
        <x:v>Auburn</x:v>
      </x:c>
      <x:c r="E184" s="30" t="str">
        <x:v>MA</x:v>
      </x:c>
      <x:c r="F184" s="30" t="str"/>
      <x:c r="G184" s="30" t="str"/>
      <x:c r="H184" s="93" t="b">
        <x:v>1</x:v>
      </x:c>
      <x:c r="I184" s="30" t="str">
        <x:v>Snov</x:v>
      </x:c>
      <x:c r="J184" s="30" t="str">
        <x:v>Gemini.docx</x:v>
      </x:c>
      <x:c r="K184" s="30" t="str">
        <x:v>Employer / Grantee</x:v>
      </x:c>
      <x:c r="L184" s="30" t="str">
        <x:v>MassHire Central MA</x:v>
      </x:c>
      <x:c r="M184" s="30" t="str">
        <x:v>[cite: 56]</x:v>
      </x:c>
      <x:c r="N184" s="30" t="str"/>
      <x:c r="O184" s="87" t="n">
        <x:v>147350</x:v>
      </x:c>
      <x:c r="P184" s="90" t="n">
        <x:v>110</x:v>
      </x:c>
      <x:c r="Q184" s="30" t="str">
        <x:v>15 additional jobs</x:v>
      </x:c>
      <x:c r="R184" s="30" t="str"/>
      <x:c r="S184" s="30" t="str"/>
      <x:c r="T184" s="30" t="str"/>
      <x:c r="U184" s="30" t="str"/>
      <x:c r="V184" s="30" t="str"/>
      <x:c r="W184" s="30" t="str"/>
      <x:c r="X184" s="30" t="str"/>
      <x:c r="Y184" s="30" t="str">
        <x:v>Not Started</x:v>
      </x:c>
      <x:c r="Z184" s="30" t="str">
        <x:v>Gemini export retained its citation label but not the live URL. Recover a source URL during research.</x:v>
      </x:c>
    </x:row>
    <x:row r="185" ht="22" customHeight="1">
      <x:c r="A185" s="30" t="str">
        <x:v>RCAP Solutions</x:v>
      </x:c>
      <x:c r="B185" s="30" t="str"/>
      <x:c r="C185" s="30" t="str"/>
      <x:c r="D185" s="30" t="str">
        <x:v>Worcester</x:v>
      </x:c>
      <x:c r="E185" s="30" t="str">
        <x:v>MA</x:v>
      </x:c>
      <x:c r="F185" s="30" t="str"/>
      <x:c r="G185" s="30" t="str"/>
      <x:c r="H185" s="93" t="b">
        <x:v>1</x:v>
      </x:c>
      <x:c r="I185" s="30" t="str">
        <x:v>Snov</x:v>
      </x:c>
      <x:c r="J185" s="30" t="str">
        <x:v>Gemini.docx</x:v>
      </x:c>
      <x:c r="K185" s="30" t="str">
        <x:v>Employer / Grantee</x:v>
      </x:c>
      <x:c r="L185" s="30" t="str">
        <x:v>MassHire Central MA</x:v>
      </x:c>
      <x:c r="M185" s="30" t="str">
        <x:v>[cite: 27]</x:v>
      </x:c>
      <x:c r="N185" s="30" t="str"/>
      <x:c r="O185" s="87" t="n">
        <x:v>87600</x:v>
      </x:c>
      <x:c r="P185" s="90" t="n">
        <x:v>89</x:v>
      </x:c>
      <x:c r="Q185" s="30" t="str">
        <x:v>18 additional jobs</x:v>
      </x:c>
      <x:c r="R185" s="30" t="str"/>
      <x:c r="S185" s="30" t="str"/>
      <x:c r="T185" s="30" t="str"/>
      <x:c r="U185" s="30" t="str"/>
      <x:c r="V185" s="30" t="str"/>
      <x:c r="W185" s="30" t="str"/>
      <x:c r="X185" s="30" t="str"/>
      <x:c r="Y185" s="30" t="str">
        <x:v>Not Started</x:v>
      </x:c>
      <x:c r="Z185" s="30" t="str">
        <x:v>Gemini export retained its citation label but not the live URL. Recover a source URL during research.</x:v>
      </x:c>
    </x:row>
    <x:row r="186" ht="22" customHeight="1">
      <x:c r="A186" s="30" t="str">
        <x:v>Reading Cooperative Bank</x:v>
      </x:c>
      <x:c r="B186" s="30" t="str"/>
      <x:c r="C186" s="30" t="str"/>
      <x:c r="D186" s="30" t="str">
        <x:v>Reading</x:v>
      </x:c>
      <x:c r="E186" s="30" t="str">
        <x:v>MA</x:v>
      </x:c>
      <x:c r="F186" s="30" t="str"/>
      <x:c r="G186" s="30" t="str"/>
      <x:c r="H186" s="93" t="b">
        <x:v>1</x:v>
      </x:c>
      <x:c r="I186" s="30" t="str">
        <x:v>Snov</x:v>
      </x:c>
      <x:c r="J186" s="30" t="str">
        <x:v>Gemini.docx</x:v>
      </x:c>
      <x:c r="K186" s="30" t="str">
        <x:v>Employer / Grantee</x:v>
      </x:c>
      <x:c r="L186" s="30" t="str">
        <x:v>MassHire Metro North</x:v>
      </x:c>
      <x:c r="M186" s="30" t="str">
        <x:v>[cite: 28, 29]</x:v>
      </x:c>
      <x:c r="N186" s="30" t="str"/>
      <x:c r="O186" s="87" t="n">
        <x:v>106600</x:v>
      </x:c>
      <x:c r="P186" s="90" t="n">
        <x:v>72</x:v>
      </x:c>
      <x:c r="Q186" s="30" t="str">
        <x:v>7 additional jobs</x:v>
      </x:c>
      <x:c r="R186" s="30" t="str"/>
      <x:c r="S186" s="30" t="str"/>
      <x:c r="T186" s="30" t="str"/>
      <x:c r="U186" s="30" t="str"/>
      <x:c r="V186" s="30" t="str"/>
      <x:c r="W186" s="30" t="str"/>
      <x:c r="X186" s="30" t="str"/>
      <x:c r="Y186" s="30" t="str">
        <x:v>Not Started</x:v>
      </x:c>
      <x:c r="Z186" s="30" t="str">
        <x:v>Gemini export retained its citation label but not the live URL. Recover a source URL during research.</x:v>
      </x:c>
    </x:row>
    <x:row r="187" ht="22" customHeight="1">
      <x:c r="A187" s="30" t="str">
        <x:v>Rebel Restaurants</x:v>
      </x:c>
      <x:c r="B187" s="30" t="str"/>
      <x:c r="C187" s="30" t="str"/>
      <x:c r="D187" s="30" t="str">
        <x:v>Boston</x:v>
      </x:c>
      <x:c r="E187" s="30" t="str">
        <x:v>MA</x:v>
      </x:c>
      <x:c r="F187" s="30" t="str"/>
      <x:c r="G187" s="30" t="str"/>
      <x:c r="H187" s="93" t="b">
        <x:v>1</x:v>
      </x:c>
      <x:c r="I187" s="30" t="str">
        <x:v>Snov</x:v>
      </x:c>
      <x:c r="J187" s="30" t="str">
        <x:v>Gemini.docx</x:v>
      </x:c>
      <x:c r="K187" s="30" t="str">
        <x:v>Employer / Grantee</x:v>
      </x:c>
      <x:c r="L187" s="30" t="str">
        <x:v>MassHire Boston</x:v>
      </x:c>
      <x:c r="M187" s="30" t="str">
        <x:v>[cite: 56]</x:v>
      </x:c>
      <x:c r="N187" s="30" t="str"/>
      <x:c r="O187" s="87" t="n">
        <x:v>147560</x:v>
      </x:c>
      <x:c r="P187" s="90" t="n">
        <x:v>60</x:v>
      </x:c>
      <x:c r="Q187" s="30" t="str">
        <x:v>50 additional jobs</x:v>
      </x:c>
      <x:c r="R187" s="30" t="str"/>
      <x:c r="S187" s="30" t="str"/>
      <x:c r="T187" s="30" t="str"/>
      <x:c r="U187" s="30" t="str"/>
      <x:c r="V187" s="30" t="str"/>
      <x:c r="W187" s="30" t="str"/>
      <x:c r="X187" s="30" t="str"/>
      <x:c r="Y187" s="30" t="str">
        <x:v>Not Started</x:v>
      </x:c>
      <x:c r="Z187" s="30" t="str">
        <x:v>Gemini export retained its citation label but not the live URL. Recover a source URL during research.</x:v>
      </x:c>
    </x:row>
    <x:row r="188" ht="22" customHeight="1">
      <x:c r="A188" s="30" t="str">
        <x:v>Richards Design Inc.</x:v>
      </x:c>
      <x:c r="B188" s="30" t="str"/>
      <x:c r="C188" s="30" t="str"/>
      <x:c r="D188" s="30" t="str">
        <x:v>East Falmouth</x:v>
      </x:c>
      <x:c r="E188" s="30" t="str">
        <x:v>MA</x:v>
      </x:c>
      <x:c r="F188" s="30" t="str"/>
      <x:c r="G188" s="30" t="str"/>
      <x:c r="H188" s="93" t="b">
        <x:v>1</x:v>
      </x:c>
      <x:c r="I188" s="30" t="str">
        <x:v>Snov</x:v>
      </x:c>
      <x:c r="J188" s="30" t="str">
        <x:v>Gemini.docx</x:v>
      </x:c>
      <x:c r="K188" s="30" t="str">
        <x:v>Employer / Grantee</x:v>
      </x:c>
      <x:c r="L188" s="30" t="str">
        <x:v>MassHire Cape &amp; Islands</x:v>
      </x:c>
      <x:c r="M188" s="30" t="str">
        <x:v>[cite: 56]</x:v>
      </x:c>
      <x:c r="N188" s="30" t="str"/>
      <x:c r="O188" s="87" t="n">
        <x:v>35700</x:v>
      </x:c>
      <x:c r="P188" s="90" t="n">
        <x:v>14</x:v>
      </x:c>
      <x:c r="Q188" s="30" t="str">
        <x:v>4 additional jobs</x:v>
      </x:c>
      <x:c r="R188" s="30" t="str"/>
      <x:c r="S188" s="30" t="str"/>
      <x:c r="T188" s="30" t="str"/>
      <x:c r="U188" s="30" t="str"/>
      <x:c r="V188" s="30" t="str"/>
      <x:c r="W188" s="30" t="str"/>
      <x:c r="X188" s="30" t="str"/>
      <x:c r="Y188" s="30" t="str">
        <x:v>Not Started</x:v>
      </x:c>
      <x:c r="Z188" s="30" t="str">
        <x:v>Gemini export retained its citation label but not the live URL. Recover a source URL during research.</x:v>
      </x:c>
    </x:row>
    <x:row r="189" ht="22" customHeight="1">
      <x:c r="A189" s="30" t="str">
        <x:v>Romanow Container</x:v>
      </x:c>
      <x:c r="B189" s="30" t="str"/>
      <x:c r="C189" s="30" t="str"/>
      <x:c r="D189" s="30" t="str">
        <x:v>Westwood</x:v>
      </x:c>
      <x:c r="E189" s="30" t="str">
        <x:v>MA</x:v>
      </x:c>
      <x:c r="F189" s="30" t="str"/>
      <x:c r="G189" s="30" t="str"/>
      <x:c r="H189" s="93" t="b">
        <x:v>1</x:v>
      </x:c>
      <x:c r="I189" s="30" t="str">
        <x:v>Snov</x:v>
      </x:c>
      <x:c r="J189" s="30" t="str">
        <x:v>Gemini.docx</x:v>
      </x:c>
      <x:c r="K189" s="30" t="str">
        <x:v>Employer / Grantee</x:v>
      </x:c>
      <x:c r="L189" s="30" t="str">
        <x:v>MassHire Metro South/West</x:v>
      </x:c>
      <x:c r="M189" s="30" t="str">
        <x:v>[cite: 29]</x:v>
      </x:c>
      <x:c r="N189" s="30" t="str"/>
      <x:c r="O189" s="87" t="n">
        <x:v>21000</x:v>
      </x:c>
      <x:c r="P189" s="90" t="n">
        <x:v>104</x:v>
      </x:c>
      <x:c r="Q189" s="30" t="str">
        <x:v>4 additional jobs</x:v>
      </x:c>
      <x:c r="R189" s="30" t="str"/>
      <x:c r="S189" s="30" t="str"/>
      <x:c r="T189" s="30" t="str"/>
      <x:c r="U189" s="30" t="str"/>
      <x:c r="V189" s="30" t="str"/>
      <x:c r="W189" s="30" t="str"/>
      <x:c r="X189" s="30" t="str"/>
      <x:c r="Y189" s="30" t="str">
        <x:v>Not Started</x:v>
      </x:c>
      <x:c r="Z189" s="30" t="str">
        <x:v>Gemini export retained its citation label but not the live URL. Recover a source URL during research.</x:v>
      </x:c>
    </x:row>
    <x:row r="190" ht="22" customHeight="1">
      <x:c r="A190" s="30" t="str">
        <x:v>Ruland Manufacturing</x:v>
      </x:c>
      <x:c r="B190" s="30" t="str"/>
      <x:c r="C190" s="30" t="str"/>
      <x:c r="D190" s="30" t="str">
        <x:v>Marlborough</x:v>
      </x:c>
      <x:c r="E190" s="30" t="str">
        <x:v>MA</x:v>
      </x:c>
      <x:c r="F190" s="30" t="str"/>
      <x:c r="G190" s="30" t="str"/>
      <x:c r="H190" s="93" t="b">
        <x:v>1</x:v>
      </x:c>
      <x:c r="I190" s="30" t="str">
        <x:v>Snov</x:v>
      </x:c>
      <x:c r="J190" s="30" t="str">
        <x:v>Gemini.docx</x:v>
      </x:c>
      <x:c r="K190" s="30" t="str">
        <x:v>Employer / Grantee</x:v>
      </x:c>
      <x:c r="L190" s="30" t="str">
        <x:v>MassHire Metro South/West</x:v>
      </x:c>
      <x:c r="M190" s="30" t="str">
        <x:v>[cite: 5]</x:v>
      </x:c>
      <x:c r="N190" s="30" t="str"/>
      <x:c r="O190" s="87" t="n">
        <x:v>103200</x:v>
      </x:c>
      <x:c r="P190" s="90" t="n">
        <x:v>65</x:v>
      </x:c>
      <x:c r="Q190" s="30" t="str">
        <x:v>3 additional jobs</x:v>
      </x:c>
      <x:c r="R190" s="30" t="str"/>
      <x:c r="S190" s="30" t="str"/>
      <x:c r="T190" s="30" t="str"/>
      <x:c r="U190" s="30" t="str"/>
      <x:c r="V190" s="30" t="str"/>
      <x:c r="W190" s="30" t="str"/>
      <x:c r="X190" s="30" t="str"/>
      <x:c r="Y190" s="30" t="str">
        <x:v>Not Started</x:v>
      </x:c>
      <x:c r="Z190" s="30" t="str">
        <x:v>Gemini export retained its citation label but not the live URL. Recover a source URL during research.</x:v>
      </x:c>
    </x:row>
    <x:row r="191" ht="22" customHeight="1">
      <x:c r="A191" s="30" t="str">
        <x:v>Rypos</x:v>
      </x:c>
      <x:c r="B191" s="30" t="str"/>
      <x:c r="C191" s="30" t="str"/>
      <x:c r="D191" s="30" t="str">
        <x:v>Franklin</x:v>
      </x:c>
      <x:c r="E191" s="30" t="str">
        <x:v>MA</x:v>
      </x:c>
      <x:c r="F191" s="30" t="str"/>
      <x:c r="G191" s="30" t="str"/>
      <x:c r="H191" s="93" t="b">
        <x:v>1</x:v>
      </x:c>
      <x:c r="I191" s="30" t="str">
        <x:v>Snov</x:v>
      </x:c>
      <x:c r="J191" s="30" t="str">
        <x:v>Gemini.docx</x:v>
      </x:c>
      <x:c r="K191" s="30" t="str">
        <x:v>Employer / Grantee</x:v>
      </x:c>
      <x:c r="L191" s="30" t="str">
        <x:v>MassHire Central MA</x:v>
      </x:c>
      <x:c r="M191" s="30" t="str">
        <x:v>[cite: 29, 33]</x:v>
      </x:c>
      <x:c r="N191" s="30" t="str"/>
      <x:c r="O191" s="87" t="n">
        <x:v>81275</x:v>
      </x:c>
      <x:c r="P191" s="90" t="n">
        <x:v>29</x:v>
      </x:c>
      <x:c r="Q191" s="30" t="str">
        <x:v>7 additional jobs</x:v>
      </x:c>
      <x:c r="R191" s="30" t="str"/>
      <x:c r="S191" s="30" t="str"/>
      <x:c r="T191" s="30" t="str"/>
      <x:c r="U191" s="30" t="str"/>
      <x:c r="V191" s="30" t="str"/>
      <x:c r="W191" s="30" t="str"/>
      <x:c r="X191" s="30" t="str"/>
      <x:c r="Y191" s="30" t="str">
        <x:v>Not Started</x:v>
      </x:c>
      <x:c r="Z191" s="30" t="str">
        <x:v>Gemini export retained its citation label but not the live URL. Recover a source URL during research.</x:v>
      </x:c>
    </x:row>
    <x:row r="192" ht="22" customHeight="1">
      <x:c r="A192" s="30" t="str">
        <x:v>S&amp;P Consultants, Inc.</x:v>
      </x:c>
      <x:c r="B192" s="30" t="str"/>
      <x:c r="C192" s="30" t="str"/>
      <x:c r="D192" s="30" t="str">
        <x:v>Braintree</x:v>
      </x:c>
      <x:c r="E192" s="30" t="str">
        <x:v>MA</x:v>
      </x:c>
      <x:c r="F192" s="30" t="str"/>
      <x:c r="G192" s="30" t="str"/>
      <x:c r="H192" s="93" t="b">
        <x:v>1</x:v>
      </x:c>
      <x:c r="I192" s="30" t="str">
        <x:v>Snov</x:v>
      </x:c>
      <x:c r="J192" s="30" t="str">
        <x:v>Gemini.docx</x:v>
      </x:c>
      <x:c r="K192" s="30" t="str">
        <x:v>Employer / Grantee</x:v>
      </x:c>
      <x:c r="L192" s="30" t="str">
        <x:v>MassHire South Shore</x:v>
      </x:c>
      <x:c r="M192" s="30" t="str">
        <x:v>[cite: 56]</x:v>
      </x:c>
      <x:c r="N192" s="30" t="str"/>
      <x:c r="O192" s="87" t="n">
        <x:v>81200</x:v>
      </x:c>
      <x:c r="P192" s="90" t="n">
        <x:v>30</x:v>
      </x:c>
      <x:c r="Q192" s="30" t="str">
        <x:v>5 additional jobs</x:v>
      </x:c>
      <x:c r="R192" s="30" t="str"/>
      <x:c r="S192" s="30" t="str"/>
      <x:c r="T192" s="30" t="str"/>
      <x:c r="U192" s="30" t="str"/>
      <x:c r="V192" s="30" t="str"/>
      <x:c r="W192" s="30" t="str"/>
      <x:c r="X192" s="30" t="str"/>
      <x:c r="Y192" s="30" t="str">
        <x:v>Not Started</x:v>
      </x:c>
      <x:c r="Z192" s="30" t="str">
        <x:v>Gemini export retained its citation label but not the live URL. Recover a source URL during research.</x:v>
      </x:c>
    </x:row>
    <x:row r="193" ht="22" customHeight="1">
      <x:c r="A193" s="30" t="str">
        <x:v>Scully Signal Company</x:v>
      </x:c>
      <x:c r="B193" s="30" t="str"/>
      <x:c r="C193" s="30" t="str"/>
      <x:c r="D193" s="30" t="str">
        <x:v>Wilmington</x:v>
      </x:c>
      <x:c r="E193" s="30" t="str">
        <x:v>MA</x:v>
      </x:c>
      <x:c r="F193" s="30" t="str"/>
      <x:c r="G193" s="30" t="str"/>
      <x:c r="H193" s="93" t="b">
        <x:v>1</x:v>
      </x:c>
      <x:c r="I193" s="30" t="str">
        <x:v>Snov</x:v>
      </x:c>
      <x:c r="J193" s="30" t="str">
        <x:v>Gemini.docx</x:v>
      </x:c>
      <x:c r="K193" s="30" t="str">
        <x:v>Employer / Grantee</x:v>
      </x:c>
      <x:c r="L193" s="30" t="str">
        <x:v>MassHire Metro North</x:v>
      </x:c>
      <x:c r="M193" s="30" t="str">
        <x:v>[cite: 45]</x:v>
      </x:c>
      <x:c r="N193" s="30" t="str"/>
      <x:c r="O193" s="87" t="n">
        <x:v>85200</x:v>
      </x:c>
      <x:c r="P193" s="90" t="n">
        <x:v>77</x:v>
      </x:c>
      <x:c r="Q193" s="30" t="str">
        <x:v>3 additional jobs</x:v>
      </x:c>
      <x:c r="R193" s="30" t="str"/>
      <x:c r="S193" s="30" t="str"/>
      <x:c r="T193" s="30" t="str"/>
      <x:c r="U193" s="30" t="str"/>
      <x:c r="V193" s="30" t="str"/>
      <x:c r="W193" s="30" t="str"/>
      <x:c r="X193" s="30" t="str"/>
      <x:c r="Y193" s="30" t="str">
        <x:v>Not Started</x:v>
      </x:c>
      <x:c r="Z193" s="30" t="str">
        <x:v>Gemini export retained its citation label but not the live URL. Recover a source URL during research.</x:v>
      </x:c>
    </x:row>
    <x:row r="194" ht="22" customHeight="1">
      <x:c r="A194" s="30" t="str">
        <x:v>Self Help</x:v>
      </x:c>
      <x:c r="B194" s="30" t="str"/>
      <x:c r="C194" s="30" t="str"/>
      <x:c r="D194" s="30" t="str">
        <x:v>Brockton</x:v>
      </x:c>
      <x:c r="E194" s="30" t="str">
        <x:v>MA</x:v>
      </x:c>
      <x:c r="F194" s="30" t="str"/>
      <x:c r="G194" s="30" t="str"/>
      <x:c r="H194" s="93" t="b">
        <x:v>1</x:v>
      </x:c>
      <x:c r="I194" s="30" t="str">
        <x:v>Snov</x:v>
      </x:c>
      <x:c r="J194" s="30" t="str">
        <x:v>Gemini.docx</x:v>
      </x:c>
      <x:c r="K194" s="30" t="str">
        <x:v>Employer / Grantee</x:v>
      </x:c>
      <x:c r="L194" s="30" t="str">
        <x:v>MassHire Brockton</x:v>
      </x:c>
      <x:c r="M194" s="30" t="str">
        <x:v>[cite: 2, 5]</x:v>
      </x:c>
      <x:c r="N194" s="30" t="str"/>
      <x:c r="O194" s="87" t="n">
        <x:v>50100</x:v>
      </x:c>
      <x:c r="P194" s="90" t="n">
        <x:v>36</x:v>
      </x:c>
      <x:c r="Q194" s="30" t="str">
        <x:v>10 additional jobs</x:v>
      </x:c>
      <x:c r="R194" s="30" t="str"/>
      <x:c r="S194" s="30" t="str"/>
      <x:c r="T194" s="30" t="str"/>
      <x:c r="U194" s="30" t="str"/>
      <x:c r="V194" s="30" t="str"/>
      <x:c r="W194" s="30" t="str"/>
      <x:c r="X194" s="30" t="str"/>
      <x:c r="Y194" s="30" t="str">
        <x:v>Not Started</x:v>
      </x:c>
      <x:c r="Z194" s="30" t="str">
        <x:v>Gemini export retained its citation label but not the live URL. Recover a source URL during research.</x:v>
      </x:c>
    </x:row>
    <x:row r="195" ht="22" customHeight="1">
      <x:c r="A195" s="30" t="str">
        <x:v>Shawmut Communications Group</x:v>
      </x:c>
      <x:c r="B195" s="30" t="str"/>
      <x:c r="C195" s="30" t="str"/>
      <x:c r="D195" s="30" t="str">
        <x:v>Peabody</x:v>
      </x:c>
      <x:c r="E195" s="30" t="str">
        <x:v>MA</x:v>
      </x:c>
      <x:c r="F195" s="30" t="str"/>
      <x:c r="G195" s="30" t="str"/>
      <x:c r="H195" s="93" t="b">
        <x:v>1</x:v>
      </x:c>
      <x:c r="I195" s="30" t="str">
        <x:v>Snov</x:v>
      </x:c>
      <x:c r="J195" s="30" t="str">
        <x:v>Gemini.docx</x:v>
      </x:c>
      <x:c r="K195" s="30" t="str">
        <x:v>Employer / Grantee</x:v>
      </x:c>
      <x:c r="L195" s="30" t="str">
        <x:v>MassHire North Shore</x:v>
      </x:c>
      <x:c r="M195" s="30" t="str">
        <x:v>[cite: 29]</x:v>
      </x:c>
      <x:c r="N195" s="30" t="str"/>
      <x:c r="O195" s="87" t="n">
        <x:v>121100</x:v>
      </x:c>
      <x:c r="P195" s="90" t="n">
        <x:v>25</x:v>
      </x:c>
      <x:c r="Q195" s="30" t="str">
        <x:v>3 additional jobs</x:v>
      </x:c>
      <x:c r="R195" s="30" t="str"/>
      <x:c r="S195" s="30" t="str"/>
      <x:c r="T195" s="30" t="str"/>
      <x:c r="U195" s="30" t="str"/>
      <x:c r="V195" s="30" t="str"/>
      <x:c r="W195" s="30" t="str"/>
      <x:c r="X195" s="30" t="str"/>
      <x:c r="Y195" s="30" t="str">
        <x:v>Not Started</x:v>
      </x:c>
      <x:c r="Z195" s="30" t="str">
        <x:v>Gemini export retained its citation label but not the live URL. Recover a source URL during research.</x:v>
      </x:c>
    </x:row>
    <x:row r="196" ht="22" customHeight="1">
      <x:c r="A196" s="30" t="str">
        <x:v>Shepley Wood Products</x:v>
      </x:c>
      <x:c r="B196" s="30" t="str"/>
      <x:c r="C196" s="30" t="str"/>
      <x:c r="D196" s="30" t="str">
        <x:v>Hyannis</x:v>
      </x:c>
      <x:c r="E196" s="30" t="str">
        <x:v>MA</x:v>
      </x:c>
      <x:c r="F196" s="30" t="str"/>
      <x:c r="G196" s="30" t="str"/>
      <x:c r="H196" s="93" t="b">
        <x:v>1</x:v>
      </x:c>
      <x:c r="I196" s="30" t="str">
        <x:v>Snov</x:v>
      </x:c>
      <x:c r="J196" s="30" t="str">
        <x:v>Gemini.docx</x:v>
      </x:c>
      <x:c r="K196" s="30" t="str">
        <x:v>Employer / Grantee</x:v>
      </x:c>
      <x:c r="L196" s="30" t="str">
        <x:v>MassHire Cape &amp; Islands</x:v>
      </x:c>
      <x:c r="M196" s="30" t="str">
        <x:v>[cite: 29, 33]</x:v>
      </x:c>
      <x:c r="N196" s="30" t="str"/>
      <x:c r="O196" s="87" t="n">
        <x:v>197650</x:v>
      </x:c>
      <x:c r="P196" s="90" t="n">
        <x:v>148</x:v>
      </x:c>
      <x:c r="Q196" s="30" t="str">
        <x:v>14 additional jobs</x:v>
      </x:c>
      <x:c r="R196" s="30" t="str"/>
      <x:c r="S196" s="30" t="str"/>
      <x:c r="T196" s="30" t="str"/>
      <x:c r="U196" s="30" t="str"/>
      <x:c r="V196" s="30" t="str"/>
      <x:c r="W196" s="30" t="str"/>
      <x:c r="X196" s="30" t="str"/>
      <x:c r="Y196" s="30" t="str">
        <x:v>Not Started</x:v>
      </x:c>
      <x:c r="Z196" s="30" t="str">
        <x:v>Gemini export retained its citation label but not the live URL. Recover a source URL during research.</x:v>
      </x:c>
    </x:row>
    <x:row r="197" ht="22" customHeight="1">
      <x:c r="A197" s="30" t="str">
        <x:v>Sika Corporation</x:v>
      </x:c>
      <x:c r="B197" s="30" t="str"/>
      <x:c r="C197" s="30" t="str"/>
      <x:c r="D197" s="30" t="str">
        <x:v>Canton</x:v>
      </x:c>
      <x:c r="E197" s="30" t="str">
        <x:v>MA</x:v>
      </x:c>
      <x:c r="F197" s="30" t="str"/>
      <x:c r="G197" s="30" t="str"/>
      <x:c r="H197" s="93" t="b">
        <x:v>1</x:v>
      </x:c>
      <x:c r="I197" s="30" t="str">
        <x:v>Snov</x:v>
      </x:c>
      <x:c r="J197" s="30" t="str">
        <x:v>Gemini.docx</x:v>
      </x:c>
      <x:c r="K197" s="30" t="str">
        <x:v>Employer / Grantee</x:v>
      </x:c>
      <x:c r="L197" s="30" t="str">
        <x:v>MassHire South Shore</x:v>
      </x:c>
      <x:c r="M197" s="30" t="str">
        <x:v>[cite: 27]</x:v>
      </x:c>
      <x:c r="N197" s="30" t="str"/>
      <x:c r="O197" s="87" t="n">
        <x:v>95600</x:v>
      </x:c>
      <x:c r="P197" s="90" t="n">
        <x:v>30</x:v>
      </x:c>
      <x:c r="Q197" s="30" t="str">
        <x:v>10 additional jobs</x:v>
      </x:c>
      <x:c r="R197" s="30" t="str"/>
      <x:c r="S197" s="30" t="str"/>
      <x:c r="T197" s="30" t="str"/>
      <x:c r="U197" s="30" t="str"/>
      <x:c r="V197" s="30" t="str"/>
      <x:c r="W197" s="30" t="str"/>
      <x:c r="X197" s="30" t="str"/>
      <x:c r="Y197" s="30" t="str">
        <x:v>Not Started</x:v>
      </x:c>
      <x:c r="Z197" s="30" t="str">
        <x:v>Gemini export retained its citation label but not the live URL. Recover a source URL during research.</x:v>
      </x:c>
    </x:row>
    <x:row r="198" ht="22" customHeight="1">
      <x:c r="A198" s="30" t="str">
        <x:v>Sloan</x:v>
      </x:c>
      <x:c r="B198" s="30" t="str"/>
      <x:c r="C198" s="30" t="str"/>
      <x:c r="D198" s="30" t="str">
        <x:v>Andover</x:v>
      </x:c>
      <x:c r="E198" s="30" t="str">
        <x:v>MA</x:v>
      </x:c>
      <x:c r="F198" s="30" t="str"/>
      <x:c r="G198" s="30" t="str"/>
      <x:c r="H198" s="93" t="b">
        <x:v>1</x:v>
      </x:c>
      <x:c r="I198" s="30" t="str">
        <x:v>Snov</x:v>
      </x:c>
      <x:c r="J198" s="30" t="str">
        <x:v>Gemini.docx</x:v>
      </x:c>
      <x:c r="K198" s="30" t="str">
        <x:v>Employer / Grantee</x:v>
      </x:c>
      <x:c r="L198" s="30" t="str">
        <x:v>MassHire Merrimack Valley</x:v>
      </x:c>
      <x:c r="M198" s="30" t="str">
        <x:v>[cite: 56]</x:v>
      </x:c>
      <x:c r="N198" s="30" t="str"/>
      <x:c r="O198" s="87" t="n">
        <x:v>85800</x:v>
      </x:c>
      <x:c r="P198" s="90" t="n">
        <x:v>69</x:v>
      </x:c>
      <x:c r="Q198" s="30" t="str">
        <x:v>3 additional jobs</x:v>
      </x:c>
      <x:c r="R198" s="30" t="str"/>
      <x:c r="S198" s="30" t="str"/>
      <x:c r="T198" s="30" t="str"/>
      <x:c r="U198" s="30" t="str"/>
      <x:c r="V198" s="30" t="str"/>
      <x:c r="W198" s="30" t="str"/>
      <x:c r="X198" s="30" t="str"/>
      <x:c r="Y198" s="30" t="str">
        <x:v>Not Started</x:v>
      </x:c>
      <x:c r="Z198" s="30" t="str">
        <x:v>Gemini export retained its citation label but not the live URL. Recover a source URL during research.</x:v>
      </x:c>
    </x:row>
    <x:row r="199" ht="22" customHeight="1">
      <x:c r="A199" s="30" t="str">
        <x:v>SMC</x:v>
      </x:c>
      <x:c r="B199" s="30" t="str"/>
      <x:c r="C199" s="30" t="str"/>
      <x:c r="D199" s="30" t="str">
        <x:v>Devens</x:v>
      </x:c>
      <x:c r="E199" s="30" t="str">
        <x:v>MA</x:v>
      </x:c>
      <x:c r="F199" s="30" t="str"/>
      <x:c r="G199" s="30" t="str"/>
      <x:c r="H199" s="93" t="b">
        <x:v>1</x:v>
      </x:c>
      <x:c r="I199" s="30" t="str">
        <x:v>Snov</x:v>
      </x:c>
      <x:c r="J199" s="30" t="str">
        <x:v>Gemini.docx</x:v>
      </x:c>
      <x:c r="K199" s="30" t="str">
        <x:v>Employer / Grantee</x:v>
      </x:c>
      <x:c r="L199" s="30" t="str">
        <x:v>MassHire Central MA</x:v>
      </x:c>
      <x:c r="M199" s="30" t="str">
        <x:v>[cite: 29, 33]</x:v>
      </x:c>
      <x:c r="N199" s="30" t="str"/>
      <x:c r="O199" s="87" t="n">
        <x:v>35400</x:v>
      </x:c>
      <x:c r="P199" s="90" t="n">
        <x:v>30</x:v>
      </x:c>
      <x:c r="Q199" s="30" t="str">
        <x:v>25 additional jobs</x:v>
      </x:c>
      <x:c r="R199" s="30" t="str"/>
      <x:c r="S199" s="30" t="str"/>
      <x:c r="T199" s="30" t="str"/>
      <x:c r="U199" s="30" t="str"/>
      <x:c r="V199" s="30" t="str"/>
      <x:c r="W199" s="30" t="str"/>
      <x:c r="X199" s="30" t="str"/>
      <x:c r="Y199" s="30" t="str">
        <x:v>Not Started</x:v>
      </x:c>
      <x:c r="Z199" s="30" t="str">
        <x:v>Gemini export retained its citation label but not the live URL. Recover a source URL during research.</x:v>
      </x:c>
    </x:row>
    <x:row r="200" ht="22" customHeight="1">
      <x:c r="A200" s="30" t="str">
        <x:v>Spectrum Lighting</x:v>
      </x:c>
      <x:c r="B200" s="30" t="str"/>
      <x:c r="C200" s="30" t="str"/>
      <x:c r="D200" s="30" t="str">
        <x:v>Fall River</x:v>
      </x:c>
      <x:c r="E200" s="30" t="str">
        <x:v>MA</x:v>
      </x:c>
      <x:c r="F200" s="30" t="str"/>
      <x:c r="G200" s="30" t="str"/>
      <x:c r="H200" s="93" t="b">
        <x:v>1</x:v>
      </x:c>
      <x:c r="I200" s="30" t="str">
        <x:v>Snov</x:v>
      </x:c>
      <x:c r="J200" s="30" t="str">
        <x:v>Gemini.docx</x:v>
      </x:c>
      <x:c r="K200" s="30" t="str">
        <x:v>Employer / Grantee</x:v>
      </x:c>
      <x:c r="L200" s="30" t="str">
        <x:v>MassHire Bristol County</x:v>
      </x:c>
      <x:c r="M200" s="30" t="str">
        <x:v>[cite: 2, 5]</x:v>
      </x:c>
      <x:c r="N200" s="30" t="str"/>
      <x:c r="O200" s="87" t="n">
        <x:v>124350</x:v>
      </x:c>
      <x:c r="P200" s="90" t="n">
        <x:v>70</x:v>
      </x:c>
      <x:c r="Q200" s="30" t="str">
        <x:v>10 additional jobs</x:v>
      </x:c>
      <x:c r="R200" s="30" t="str"/>
      <x:c r="S200" s="30" t="str"/>
      <x:c r="T200" s="30" t="str"/>
      <x:c r="U200" s="30" t="str"/>
      <x:c r="V200" s="30" t="str"/>
      <x:c r="W200" s="30" t="str"/>
      <x:c r="X200" s="30" t="str"/>
      <x:c r="Y200" s="30" t="str">
        <x:v>Not Started</x:v>
      </x:c>
      <x:c r="Z200" s="30" t="str">
        <x:v>Gemini export retained its citation label but not the live URL. Recover a source URL during research.</x:v>
      </x:c>
    </x:row>
    <x:row r="201" ht="22" customHeight="1">
      <x:c r="A201" s="30" t="str">
        <x:v>Standard Modern Company</x:v>
      </x:c>
      <x:c r="B201" s="30" t="str"/>
      <x:c r="C201" s="30" t="str"/>
      <x:c r="D201" s="30" t="str">
        <x:v>New Bedford</x:v>
      </x:c>
      <x:c r="E201" s="30" t="str">
        <x:v>MA</x:v>
      </x:c>
      <x:c r="F201" s="30" t="str"/>
      <x:c r="G201" s="30" t="str"/>
      <x:c r="H201" s="93" t="b">
        <x:v>1</x:v>
      </x:c>
      <x:c r="I201" s="30" t="str">
        <x:v>Snov</x:v>
      </x:c>
      <x:c r="J201" s="30" t="str">
        <x:v>Gemini.docx</x:v>
      </x:c>
      <x:c r="K201" s="30" t="str">
        <x:v>Employer / Grantee</x:v>
      </x:c>
      <x:c r="L201" s="30" t="str">
        <x:v>MassHire Bristol County</x:v>
      </x:c>
      <x:c r="M201" s="30" t="str">
        <x:v>[cite: 5]</x:v>
      </x:c>
      <x:c r="N201" s="30" t="str"/>
      <x:c r="O201" s="87" t="n">
        <x:v>71400</x:v>
      </x:c>
      <x:c r="P201" s="90" t="n">
        <x:v>32</x:v>
      </x:c>
      <x:c r="Q201" s="30" t="str">
        <x:v>3 additional jobs</x:v>
      </x:c>
      <x:c r="R201" s="30" t="str"/>
      <x:c r="S201" s="30" t="str"/>
      <x:c r="T201" s="30" t="str"/>
      <x:c r="U201" s="30" t="str"/>
      <x:c r="V201" s="30" t="str"/>
      <x:c r="W201" s="30" t="str"/>
      <x:c r="X201" s="30" t="str"/>
      <x:c r="Y201" s="30" t="str">
        <x:v>Not Started</x:v>
      </x:c>
      <x:c r="Z201" s="30" t="str">
        <x:v>Gemini export retained its citation label but not the live URL. Recover a source URL during research.</x:v>
      </x:c>
    </x:row>
    <x:row r="202" ht="22" customHeight="1">
      <x:c r="A202" s="30" t="str">
        <x:v>Stewart Painting</x:v>
      </x:c>
      <x:c r="B202" s="30" t="str"/>
      <x:c r="C202" s="30" t="str"/>
      <x:c r="D202" s="30" t="str">
        <x:v>Hyannis</x:v>
      </x:c>
      <x:c r="E202" s="30" t="str">
        <x:v>MA</x:v>
      </x:c>
      <x:c r="F202" s="30" t="str"/>
      <x:c r="G202" s="30" t="str"/>
      <x:c r="H202" s="93" t="b">
        <x:v>1</x:v>
      </x:c>
      <x:c r="I202" s="30" t="str">
        <x:v>Snov</x:v>
      </x:c>
      <x:c r="J202" s="30" t="str">
        <x:v>Gemini.docx</x:v>
      </x:c>
      <x:c r="K202" s="30" t="str">
        <x:v>Employer / Grantee</x:v>
      </x:c>
      <x:c r="L202" s="30" t="str">
        <x:v>MassHire Cape &amp; Islands</x:v>
      </x:c>
      <x:c r="M202" s="30" t="str">
        <x:v>[cite: 29, 33]</x:v>
      </x:c>
      <x:c r="N202" s="30" t="str"/>
      <x:c r="O202" s="87" t="n">
        <x:v>190750</x:v>
      </x:c>
      <x:c r="P202" s="90" t="n">
        <x:v>35</x:v>
      </x:c>
      <x:c r="Q202" s="30" t="str">
        <x:v>10 additional jobs</x:v>
      </x:c>
      <x:c r="R202" s="30" t="str"/>
      <x:c r="S202" s="30" t="str"/>
      <x:c r="T202" s="30" t="str"/>
      <x:c r="U202" s="30" t="str"/>
      <x:c r="V202" s="30" t="str"/>
      <x:c r="W202" s="30" t="str"/>
      <x:c r="X202" s="30" t="str"/>
      <x:c r="Y202" s="30" t="str">
        <x:v>Not Started</x:v>
      </x:c>
      <x:c r="Z202" s="30" t="str">
        <x:v>Gemini export retained its citation label but not the live URL. Recover a source URL during research.</x:v>
      </x:c>
    </x:row>
    <x:row r="203" ht="22" customHeight="1">
      <x:c r="A203" s="30" t="str">
        <x:v>Studio Enee</x:v>
      </x:c>
      <x:c r="B203" s="30" t="str"/>
      <x:c r="C203" s="30" t="str"/>
      <x:c r="D203" s="30" t="str">
        <x:v>Boston</x:v>
      </x:c>
      <x:c r="E203" s="30" t="str">
        <x:v>MA</x:v>
      </x:c>
      <x:c r="F203" s="30" t="str"/>
      <x:c r="G203" s="30" t="str"/>
      <x:c r="H203" s="93" t="b">
        <x:v>1</x:v>
      </x:c>
      <x:c r="I203" s="30" t="str">
        <x:v>Snov</x:v>
      </x:c>
      <x:c r="J203" s="30" t="str">
        <x:v>Gemini.docx</x:v>
      </x:c>
      <x:c r="K203" s="30" t="str">
        <x:v>Employer / Grantee</x:v>
      </x:c>
      <x:c r="L203" s="30" t="str">
        <x:v>MassHire Boston</x:v>
      </x:c>
      <x:c r="M203" s="30" t="str">
        <x:v>[cite: 2, 5]</x:v>
      </x:c>
      <x:c r="N203" s="30" t="str"/>
      <x:c r="O203" s="87" t="n">
        <x:v>37200</x:v>
      </x:c>
      <x:c r="P203" s="90" t="n">
        <x:v>13</x:v>
      </x:c>
      <x:c r="Q203" s="30" t="str">
        <x:v>2 additional jobs</x:v>
      </x:c>
      <x:c r="R203" s="30" t="str"/>
      <x:c r="S203" s="30" t="str"/>
      <x:c r="T203" s="30" t="str"/>
      <x:c r="U203" s="30" t="str"/>
      <x:c r="V203" s="30" t="str"/>
      <x:c r="W203" s="30" t="str"/>
      <x:c r="X203" s="30" t="str"/>
      <x:c r="Y203" s="30" t="str">
        <x:v>Not Started</x:v>
      </x:c>
      <x:c r="Z203" s="30" t="str">
        <x:v>Gemini export retained its citation label but not the live URL. Recover a source URL during research.</x:v>
      </x:c>
    </x:row>
    <x:row r="204" ht="22" customHeight="1">
      <x:c r="A204" s="30" t="str">
        <x:v>Supreme Food Inc</x:v>
      </x:c>
      <x:c r="B204" s="30" t="str"/>
      <x:c r="C204" s="30" t="str"/>
      <x:c r="D204" s="30" t="str">
        <x:v>Lynn</x:v>
      </x:c>
      <x:c r="E204" s="30" t="str">
        <x:v>MA</x:v>
      </x:c>
      <x:c r="F204" s="30" t="str"/>
      <x:c r="G204" s="30" t="str"/>
      <x:c r="H204" s="93" t="b">
        <x:v>1</x:v>
      </x:c>
      <x:c r="I204" s="30" t="str">
        <x:v>Snov</x:v>
      </x:c>
      <x:c r="J204" s="30" t="str">
        <x:v>Gemini.docx</x:v>
      </x:c>
      <x:c r="K204" s="30" t="str">
        <x:v>Employer / Grantee</x:v>
      </x:c>
      <x:c r="L204" s="30" t="str">
        <x:v>MassHire North Shore</x:v>
      </x:c>
      <x:c r="M204" s="30" t="str">
        <x:v>[cite: 27]</x:v>
      </x:c>
      <x:c r="N204" s="30" t="str"/>
      <x:c r="O204" s="87" t="n">
        <x:v>35000</x:v>
      </x:c>
      <x:c r="P204" s="90" t="n">
        <x:v>12</x:v>
      </x:c>
      <x:c r="Q204" s="30" t="str">
        <x:v>4 additional jobs</x:v>
      </x:c>
      <x:c r="R204" s="30" t="str"/>
      <x:c r="S204" s="30" t="str"/>
      <x:c r="T204" s="30" t="str"/>
      <x:c r="U204" s="30" t="str"/>
      <x:c r="V204" s="30" t="str"/>
      <x:c r="W204" s="30" t="str"/>
      <x:c r="X204" s="30" t="str"/>
      <x:c r="Y204" s="30" t="str">
        <x:v>Not Started</x:v>
      </x:c>
      <x:c r="Z204" s="30" t="str">
        <x:v>Gemini export retained its citation label but not the live URL. Recover a source URL during research.</x:v>
      </x:c>
    </x:row>
    <x:row r="205" ht="22" customHeight="1">
      <x:c r="A205" s="30" t="str">
        <x:v>Swissturn USA</x:v>
      </x:c>
      <x:c r="B205" s="30" t="str"/>
      <x:c r="C205" s="30" t="str"/>
      <x:c r="D205" s="30" t="str">
        <x:v>Oxford</x:v>
      </x:c>
      <x:c r="E205" s="30" t="str">
        <x:v>MA</x:v>
      </x:c>
      <x:c r="F205" s="30" t="str"/>
      <x:c r="G205" s="30" t="str"/>
      <x:c r="H205" s="93" t="b">
        <x:v>1</x:v>
      </x:c>
      <x:c r="I205" s="30" t="str">
        <x:v>Snov</x:v>
      </x:c>
      <x:c r="J205" s="30" t="str">
        <x:v>Gemini.docx</x:v>
      </x:c>
      <x:c r="K205" s="30" t="str">
        <x:v>Employer / Grantee</x:v>
      </x:c>
      <x:c r="L205" s="30" t="str">
        <x:v>MassHire Central MA</x:v>
      </x:c>
      <x:c r="M205" s="30" t="str">
        <x:v>[cite: 29]</x:v>
      </x:c>
      <x:c r="N205" s="30" t="str"/>
      <x:c r="O205" s="87" t="n">
        <x:v>62015</x:v>
      </x:c>
      <x:c r="P205" s="90" t="n">
        <x:v>65</x:v>
      </x:c>
      <x:c r="Q205" s="30" t="str">
        <x:v>3 additional jobs</x:v>
      </x:c>
      <x:c r="R205" s="30" t="str"/>
      <x:c r="S205" s="30" t="str"/>
      <x:c r="T205" s="30" t="str"/>
      <x:c r="U205" s="30" t="str"/>
      <x:c r="V205" s="30" t="str"/>
      <x:c r="W205" s="30" t="str"/>
      <x:c r="X205" s="30" t="str"/>
      <x:c r="Y205" s="30" t="str">
        <x:v>Not Started</x:v>
      </x:c>
      <x:c r="Z205" s="30" t="str">
        <x:v>Gemini export retained its citation label but not the live URL. Recover a source URL during research.</x:v>
      </x:c>
    </x:row>
    <x:row r="206" ht="22" customHeight="1">
      <x:c r="A206" s="30" t="str">
        <x:v>Temptronic Corporation</x:v>
      </x:c>
      <x:c r="B206" s="30" t="str"/>
      <x:c r="C206" s="30" t="str"/>
      <x:c r="D206" s="30" t="str">
        <x:v>Mansfield</x:v>
      </x:c>
      <x:c r="E206" s="30" t="str">
        <x:v>MA</x:v>
      </x:c>
      <x:c r="F206" s="30" t="str"/>
      <x:c r="G206" s="30" t="str"/>
      <x:c r="H206" s="93" t="b">
        <x:v>1</x:v>
      </x:c>
      <x:c r="I206" s="30" t="str">
        <x:v>Snov</x:v>
      </x:c>
      <x:c r="J206" s="30" t="str">
        <x:v>Gemini.docx</x:v>
      </x:c>
      <x:c r="K206" s="30" t="str">
        <x:v>Employer / Grantee</x:v>
      </x:c>
      <x:c r="L206" s="30" t="str">
        <x:v>MassHire Bristol County</x:v>
      </x:c>
      <x:c r="M206" s="30" t="str">
        <x:v>[cite: 2, 5]</x:v>
      </x:c>
      <x:c r="N206" s="30" t="str"/>
      <x:c r="O206" s="87" t="n">
        <x:v>110000</x:v>
      </x:c>
      <x:c r="P206" s="90" t="n">
        <x:v>60</x:v>
      </x:c>
      <x:c r="Q206" s="30" t="str">
        <x:v>3 additional jobs</x:v>
      </x:c>
      <x:c r="R206" s="30" t="str"/>
      <x:c r="S206" s="30" t="str"/>
      <x:c r="T206" s="30" t="str"/>
      <x:c r="U206" s="30" t="str"/>
      <x:c r="V206" s="30" t="str"/>
      <x:c r="W206" s="30" t="str"/>
      <x:c r="X206" s="30" t="str"/>
      <x:c r="Y206" s="30" t="str">
        <x:v>Not Started</x:v>
      </x:c>
      <x:c r="Z206" s="30" t="str">
        <x:v>Gemini export retained its citation label but not the live URL. Recover a source URL during research.</x:v>
      </x:c>
    </x:row>
    <x:row r="207" ht="22" customHeight="1">
      <x:c r="A207" s="30" t="str">
        <x:v>Terumo Cardiovascular Systems Corp</x:v>
      </x:c>
      <x:c r="B207" s="30" t="str"/>
      <x:c r="C207" s="30" t="str"/>
      <x:c r="D207" s="30" t="str">
        <x:v>Ashland</x:v>
      </x:c>
      <x:c r="E207" s="30" t="str">
        <x:v>MA</x:v>
      </x:c>
      <x:c r="F207" s="30" t="str"/>
      <x:c r="G207" s="30" t="str"/>
      <x:c r="H207" s="93" t="b">
        <x:v>1</x:v>
      </x:c>
      <x:c r="I207" s="30" t="str">
        <x:v>Snov</x:v>
      </x:c>
      <x:c r="J207" s="30" t="str">
        <x:v>Gemini.docx</x:v>
      </x:c>
      <x:c r="K207" s="30" t="str">
        <x:v>Employer / Grantee</x:v>
      </x:c>
      <x:c r="L207" s="30" t="str">
        <x:v>MassHire Metro South/West</x:v>
      </x:c>
      <x:c r="M207" s="30" t="str">
        <x:v>[cite: 56]</x:v>
      </x:c>
      <x:c r="N207" s="30" t="str"/>
      <x:c r="O207" s="87" t="n">
        <x:v>123200</x:v>
      </x:c>
      <x:c r="P207" s="90" t="n">
        <x:v>43</x:v>
      </x:c>
      <x:c r="Q207" s="30" t="str">
        <x:v>2 additional jobs</x:v>
      </x:c>
      <x:c r="R207" s="30" t="str"/>
      <x:c r="S207" s="30" t="str"/>
      <x:c r="T207" s="30" t="str"/>
      <x:c r="U207" s="30" t="str"/>
      <x:c r="V207" s="30" t="str"/>
      <x:c r="W207" s="30" t="str"/>
      <x:c r="X207" s="30" t="str"/>
      <x:c r="Y207" s="30" t="str">
        <x:v>Not Started</x:v>
      </x:c>
      <x:c r="Z207" s="30" t="str">
        <x:v>Gemini export retained its citation label but not the live URL. Recover a source URL during research.</x:v>
      </x:c>
    </x:row>
    <x:row r="208" ht="22" customHeight="1">
      <x:c r="A208" s="30" t="str">
        <x:v>Textron Systems</x:v>
      </x:c>
      <x:c r="B208" s="30" t="str"/>
      <x:c r="C208" s="30" t="str"/>
      <x:c r="D208" s="30" t="str">
        <x:v>Wilmington</x:v>
      </x:c>
      <x:c r="E208" s="30" t="str">
        <x:v>MA</x:v>
      </x:c>
      <x:c r="F208" s="30" t="str"/>
      <x:c r="G208" s="30" t="str"/>
      <x:c r="H208" s="93" t="b">
        <x:v>1</x:v>
      </x:c>
      <x:c r="I208" s="30" t="str">
        <x:v>Snov</x:v>
      </x:c>
      <x:c r="J208" s="30" t="str">
        <x:v>Gemini.docx</x:v>
      </x:c>
      <x:c r="K208" s="30" t="str">
        <x:v>Employer / Grantee</x:v>
      </x:c>
      <x:c r="L208" s="30" t="str">
        <x:v>MassHire Metro North</x:v>
      </x:c>
      <x:c r="M208" s="30" t="str">
        <x:v>[cite: 29]</x:v>
      </x:c>
      <x:c r="N208" s="30" t="str"/>
      <x:c r="O208" s="87" t="n">
        <x:v>199689</x:v>
      </x:c>
      <x:c r="P208" s="90" t="n">
        <x:v>96</x:v>
      </x:c>
      <x:c r="Q208" s="30" t="str">
        <x:v>65 additional jobs</x:v>
      </x:c>
      <x:c r="R208" s="30" t="str"/>
      <x:c r="S208" s="30" t="str"/>
      <x:c r="T208" s="30" t="str"/>
      <x:c r="U208" s="30" t="str"/>
      <x:c r="V208" s="30" t="str"/>
      <x:c r="W208" s="30" t="str"/>
      <x:c r="X208" s="30" t="str"/>
      <x:c r="Y208" s="30" t="str">
        <x:v>Not Started</x:v>
      </x:c>
      <x:c r="Z208" s="30" t="str">
        <x:v>Gemini export retained its citation label but not the live URL. Recover a source URL during research.</x:v>
      </x:c>
    </x:row>
    <x:row r="209" ht="22" customHeight="1">
      <x:c r="A209" s="30" t="str">
        <x:v>The Fenway Group</x:v>
      </x:c>
      <x:c r="B209" s="30" t="str"/>
      <x:c r="C209" s="30" t="str"/>
      <x:c r="D209" s="30" t="str">
        <x:v>Boston</x:v>
      </x:c>
      <x:c r="E209" s="30" t="str">
        <x:v>MA</x:v>
      </x:c>
      <x:c r="F209" s="30" t="str"/>
      <x:c r="G209" s="30" t="str"/>
      <x:c r="H209" s="93" t="b">
        <x:v>1</x:v>
      </x:c>
      <x:c r="I209" s="30" t="str">
        <x:v>Snov</x:v>
      </x:c>
      <x:c r="J209" s="30" t="str">
        <x:v>Gemini.docx</x:v>
      </x:c>
      <x:c r="K209" s="30" t="str">
        <x:v>Employer / Grantee</x:v>
      </x:c>
      <x:c r="L209" s="30" t="str">
        <x:v>MassHire Boston</x:v>
      </x:c>
      <x:c r="M209" s="30" t="str">
        <x:v>[cite: 2]</x:v>
      </x:c>
      <x:c r="N209" s="30" t="str"/>
      <x:c r="O209" s="87" t="n">
        <x:v>78300</x:v>
      </x:c>
      <x:c r="P209" s="90" t="n">
        <x:v>32</x:v>
      </x:c>
      <x:c r="Q209" s="30" t="str">
        <x:v>4 additional jobs</x:v>
      </x:c>
      <x:c r="R209" s="30" t="str"/>
      <x:c r="S209" s="30" t="str"/>
      <x:c r="T209" s="30" t="str"/>
      <x:c r="U209" s="30" t="str"/>
      <x:c r="V209" s="30" t="str"/>
      <x:c r="W209" s="30" t="str"/>
      <x:c r="X209" s="30" t="str"/>
      <x:c r="Y209" s="30" t="str">
        <x:v>Not Started</x:v>
      </x:c>
      <x:c r="Z209" s="30" t="str">
        <x:v>Gemini export retained its citation label but not the live URL. Recover a source URL during research.</x:v>
      </x:c>
    </x:row>
    <x:row r="210" ht="22" customHeight="1">
      <x:c r="A210" s="30" t="str">
        <x:v>The Haynes Group</x:v>
      </x:c>
      <x:c r="B210" s="30" t="str"/>
      <x:c r="C210" s="30" t="str"/>
      <x:c r="D210" s="30" t="str">
        <x:v>West Bridgewater</x:v>
      </x:c>
      <x:c r="E210" s="30" t="str">
        <x:v>MA</x:v>
      </x:c>
      <x:c r="F210" s="30" t="str"/>
      <x:c r="G210" s="30" t="str"/>
      <x:c r="H210" s="93" t="b">
        <x:v>1</x:v>
      </x:c>
      <x:c r="I210" s="30" t="str">
        <x:v>Snov</x:v>
      </x:c>
      <x:c r="J210" s="30" t="str">
        <x:v>Gemini.docx</x:v>
      </x:c>
      <x:c r="K210" s="30" t="str">
        <x:v>Employer / Grantee</x:v>
      </x:c>
      <x:c r="L210" s="30" t="str">
        <x:v>MassHire Brockton</x:v>
      </x:c>
      <x:c r="M210" s="30" t="str">
        <x:v>[cite: 28]</x:v>
      </x:c>
      <x:c r="N210" s="30" t="str"/>
      <x:c r="O210" s="87" t="n">
        <x:v>156800</x:v>
      </x:c>
      <x:c r="P210" s="90" t="n">
        <x:v>57</x:v>
      </x:c>
      <x:c r="Q210" s="30" t="str">
        <x:v>12 additional jobs</x:v>
      </x:c>
      <x:c r="R210" s="30" t="str"/>
      <x:c r="S210" s="30" t="str"/>
      <x:c r="T210" s="30" t="str"/>
      <x:c r="U210" s="30" t="str"/>
      <x:c r="V210" s="30" t="str"/>
      <x:c r="W210" s="30" t="str"/>
      <x:c r="X210" s="30" t="str"/>
      <x:c r="Y210" s="30" t="str">
        <x:v>Not Started</x:v>
      </x:c>
      <x:c r="Z210" s="30" t="str">
        <x:v>Gemini export retained its citation label but not the live URL. Recover a source URL during research.</x:v>
      </x:c>
    </x:row>
    <x:row r="211" ht="22" customHeight="1">
      <x:c r="A211" s="30" t="str">
        <x:v>TotalOffice Interiors</x:v>
      </x:c>
      <x:c r="B211" s="30" t="str"/>
      <x:c r="C211" s="30" t="str"/>
      <x:c r="D211" s="30" t="str">
        <x:v>Boston</x:v>
      </x:c>
      <x:c r="E211" s="30" t="str">
        <x:v>MA</x:v>
      </x:c>
      <x:c r="F211" s="30" t="str"/>
      <x:c r="G211" s="30" t="str"/>
      <x:c r="H211" s="93" t="b">
        <x:v>1</x:v>
      </x:c>
      <x:c r="I211" s="30" t="str">
        <x:v>Snov</x:v>
      </x:c>
      <x:c r="J211" s="30" t="str">
        <x:v>Gemini.docx</x:v>
      </x:c>
      <x:c r="K211" s="30" t="str">
        <x:v>Employer / Grantee</x:v>
      </x:c>
      <x:c r="L211" s="30" t="str">
        <x:v>MassHire Boston</x:v>
      </x:c>
      <x:c r="M211" s="30" t="str">
        <x:v>[cite: 2]</x:v>
      </x:c>
      <x:c r="N211" s="30" t="str"/>
      <x:c r="O211" s="87" t="n">
        <x:v>43200</x:v>
      </x:c>
      <x:c r="P211" s="90" t="n">
        <x:v>19</x:v>
      </x:c>
      <x:c r="Q211" s="30" t="str">
        <x:v>4 additional jobs</x:v>
      </x:c>
      <x:c r="R211" s="30" t="str"/>
      <x:c r="S211" s="30" t="str"/>
      <x:c r="T211" s="30" t="str"/>
      <x:c r="U211" s="30" t="str"/>
      <x:c r="V211" s="30" t="str"/>
      <x:c r="W211" s="30" t="str"/>
      <x:c r="X211" s="30" t="str"/>
      <x:c r="Y211" s="30" t="str">
        <x:v>Not Started</x:v>
      </x:c>
      <x:c r="Z211" s="30" t="str">
        <x:v>Gemini export retained its citation label but not the live URL. Recover a source URL during research.</x:v>
      </x:c>
    </x:row>
    <x:row r="212" ht="22" customHeight="1">
      <x:c r="A212" s="30" t="str">
        <x:v>Trelleborg Sealing Solutions US</x:v>
      </x:c>
      <x:c r="B212" s="30" t="str"/>
      <x:c r="C212" s="30" t="str"/>
      <x:c r="D212" s="30" t="str">
        <x:v>Northborough</x:v>
      </x:c>
      <x:c r="E212" s="30" t="str">
        <x:v>MA</x:v>
      </x:c>
      <x:c r="F212" s="30" t="str"/>
      <x:c r="G212" s="30" t="str"/>
      <x:c r="H212" s="93" t="b">
        <x:v>1</x:v>
      </x:c>
      <x:c r="I212" s="30" t="str">
        <x:v>Snov</x:v>
      </x:c>
      <x:c r="J212" s="30" t="str">
        <x:v>Gemini.docx</x:v>
      </x:c>
      <x:c r="K212" s="30" t="str">
        <x:v>Employer / Grantee</x:v>
      </x:c>
      <x:c r="L212" s="30" t="str">
        <x:v>MassHire Central MA</x:v>
      </x:c>
      <x:c r="M212" s="30" t="str">
        <x:v>[cite: 2, 5]</x:v>
      </x:c>
      <x:c r="N212" s="30" t="str"/>
      <x:c r="O212" s="87" t="n">
        <x:v>56400</x:v>
      </x:c>
      <x:c r="P212" s="90" t="n">
        <x:v>21</x:v>
      </x:c>
      <x:c r="Q212" s="30" t="str">
        <x:v>11 additional jobs</x:v>
      </x:c>
      <x:c r="R212" s="30" t="str"/>
      <x:c r="S212" s="30" t="str"/>
      <x:c r="T212" s="30" t="str"/>
      <x:c r="U212" s="30" t="str"/>
      <x:c r="V212" s="30" t="str"/>
      <x:c r="W212" s="30" t="str"/>
      <x:c r="X212" s="30" t="str"/>
      <x:c r="Y212" s="30" t="str">
        <x:v>Not Started</x:v>
      </x:c>
      <x:c r="Z212" s="30" t="str">
        <x:v>Gemini export retained its citation label but not the live URL. Recover a source URL during research.</x:v>
      </x:c>
    </x:row>
    <x:row r="213" ht="22" customHeight="1">
      <x:c r="A213" s="30" t="str">
        <x:v>Ulta Home Improvements</x:v>
      </x:c>
      <x:c r="B213" s="30" t="str"/>
      <x:c r="C213" s="30" t="str"/>
      <x:c r="D213" s="30" t="str">
        <x:v>Ashland</x:v>
      </x:c>
      <x:c r="E213" s="30" t="str">
        <x:v>MA</x:v>
      </x:c>
      <x:c r="F213" s="30" t="str"/>
      <x:c r="G213" s="30" t="str"/>
      <x:c r="H213" s="93" t="b">
        <x:v>1</x:v>
      </x:c>
      <x:c r="I213" s="30" t="str">
        <x:v>Snov</x:v>
      </x:c>
      <x:c r="J213" s="30" t="str">
        <x:v>Gemini.docx</x:v>
      </x:c>
      <x:c r="K213" s="30" t="str">
        <x:v>Employer / Grantee</x:v>
      </x:c>
      <x:c r="L213" s="30" t="str">
        <x:v>MassHire Metro South/West</x:v>
      </x:c>
      <x:c r="M213" s="30" t="str">
        <x:v>[cite: 5]</x:v>
      </x:c>
      <x:c r="N213" s="30" t="str"/>
      <x:c r="O213" s="87" t="n">
        <x:v>24000</x:v>
      </x:c>
      <x:c r="P213" s="90" t="n">
        <x:v>8</x:v>
      </x:c>
      <x:c r="Q213" s="30" t="str">
        <x:v>4 additional jobs</x:v>
      </x:c>
      <x:c r="R213" s="30" t="str"/>
      <x:c r="S213" s="30" t="str"/>
      <x:c r="T213" s="30" t="str"/>
      <x:c r="U213" s="30" t="str"/>
      <x:c r="V213" s="30" t="str"/>
      <x:c r="W213" s="30" t="str"/>
      <x:c r="X213" s="30" t="str"/>
      <x:c r="Y213" s="30" t="str">
        <x:v>Not Started</x:v>
      </x:c>
      <x:c r="Z213" s="30" t="str">
        <x:v>Gemini export retained its citation label but not the live URL. Recover a source URL during research.</x:v>
      </x:c>
    </x:row>
    <x:row r="214" ht="22" customHeight="1">
      <x:c r="A214" s="30" t="str">
        <x:v>UNICOM Engineering</x:v>
      </x:c>
      <x:c r="B214" s="30" t="str"/>
      <x:c r="C214" s="30" t="str"/>
      <x:c r="D214" s="30" t="str">
        <x:v>Canton</x:v>
      </x:c>
      <x:c r="E214" s="30" t="str">
        <x:v>MA</x:v>
      </x:c>
      <x:c r="F214" s="30" t="str"/>
      <x:c r="G214" s="30" t="str"/>
      <x:c r="H214" s="93" t="b">
        <x:v>1</x:v>
      </x:c>
      <x:c r="I214" s="30" t="str">
        <x:v>Snov</x:v>
      </x:c>
      <x:c r="J214" s="30" t="str">
        <x:v>Gemini.docx</x:v>
      </x:c>
      <x:c r="K214" s="30" t="str">
        <x:v>Employer / Grantee</x:v>
      </x:c>
      <x:c r="L214" s="30" t="str">
        <x:v>MassHire South Shore</x:v>
      </x:c>
      <x:c r="M214" s="30" t="str">
        <x:v>[cite: 27]</x:v>
      </x:c>
      <x:c r="N214" s="30" t="str"/>
      <x:c r="O214" s="87" t="n">
        <x:v>98756</x:v>
      </x:c>
      <x:c r="P214" s="90" t="n">
        <x:v>56</x:v>
      </x:c>
      <x:c r="Q214" s="30" t="str">
        <x:v>6 additional jobs</x:v>
      </x:c>
      <x:c r="R214" s="30" t="str"/>
      <x:c r="S214" s="30" t="str"/>
      <x:c r="T214" s="30" t="str"/>
      <x:c r="U214" s="30" t="str"/>
      <x:c r="V214" s="30" t="str"/>
      <x:c r="W214" s="30" t="str"/>
      <x:c r="X214" s="30" t="str"/>
      <x:c r="Y214" s="30" t="str">
        <x:v>Not Started</x:v>
      </x:c>
      <x:c r="Z214" s="30" t="str">
        <x:v>Gemini export retained its citation label but not the live URL. Recover a source URL during research.</x:v>
      </x:c>
    </x:row>
    <x:row r="215" ht="22" customHeight="1">
      <x:c r="A215" s="30" t="str">
        <x:v>Veranova</x:v>
      </x:c>
      <x:c r="B215" s="30" t="str"/>
      <x:c r="C215" s="30" t="str"/>
      <x:c r="D215" s="30" t="str">
        <x:v>Devens</x:v>
      </x:c>
      <x:c r="E215" s="30" t="str">
        <x:v>MA</x:v>
      </x:c>
      <x:c r="F215" s="30" t="str"/>
      <x:c r="G215" s="30" t="str"/>
      <x:c r="H215" s="93" t="b">
        <x:v>1</x:v>
      </x:c>
      <x:c r="I215" s="30" t="str">
        <x:v>Snov</x:v>
      </x:c>
      <x:c r="J215" s="30" t="str">
        <x:v>Gemini.docx</x:v>
      </x:c>
      <x:c r="K215" s="30" t="str">
        <x:v>Employer / Grantee</x:v>
      </x:c>
      <x:c r="L215" s="30" t="str">
        <x:v>MassHire Central MA</x:v>
      </x:c>
      <x:c r="M215" s="30" t="str">
        <x:v>[cite: 5]</x:v>
      </x:c>
      <x:c r="N215" s="30" t="str"/>
      <x:c r="O215" s="87" t="n">
        <x:v>124800</x:v>
      </x:c>
      <x:c r="P215" s="90" t="n">
        <x:v>200</x:v>
      </x:c>
      <x:c r="Q215" s="30" t="str">
        <x:v>10 additional jobs</x:v>
      </x:c>
      <x:c r="R215" s="30" t="str"/>
      <x:c r="S215" s="30" t="str"/>
      <x:c r="T215" s="30" t="str"/>
      <x:c r="U215" s="30" t="str"/>
      <x:c r="V215" s="30" t="str"/>
      <x:c r="W215" s="30" t="str"/>
      <x:c r="X215" s="30" t="str"/>
      <x:c r="Y215" s="30" t="str">
        <x:v>Not Started</x:v>
      </x:c>
      <x:c r="Z215" s="30" t="str">
        <x:v>Gemini export retained its citation label but not the live URL. Recover a source URL during research.</x:v>
      </x:c>
    </x:row>
    <x:row r="216" ht="22" customHeight="1">
      <x:c r="A216" s="30" t="str">
        <x:v>Verc Enterprises, Inc.</x:v>
      </x:c>
      <x:c r="B216" s="30" t="str"/>
      <x:c r="C216" s="30" t="str"/>
      <x:c r="D216" s="30" t="str">
        <x:v>Duxbury</x:v>
      </x:c>
      <x:c r="E216" s="30" t="str">
        <x:v>MA</x:v>
      </x:c>
      <x:c r="F216" s="30" t="str"/>
      <x:c r="G216" s="30" t="str"/>
      <x:c r="H216" s="93" t="b">
        <x:v>1</x:v>
      </x:c>
      <x:c r="I216" s="30" t="str">
        <x:v>Snov</x:v>
      </x:c>
      <x:c r="J216" s="30" t="str">
        <x:v>Gemini.docx</x:v>
      </x:c>
      <x:c r="K216" s="30" t="str">
        <x:v>Employer / Grantee</x:v>
      </x:c>
      <x:c r="L216" s="30" t="str">
        <x:v>MassHire South Shore</x:v>
      </x:c>
      <x:c r="M216" s="30" t="str">
        <x:v>[cite: 56]</x:v>
      </x:c>
      <x:c r="N216" s="30" t="str"/>
      <x:c r="O216" s="87" t="n">
        <x:v>140000</x:v>
      </x:c>
      <x:c r="P216" s="90" t="n">
        <x:v>147</x:v>
      </x:c>
      <x:c r="Q216" s="30" t="str">
        <x:v>12 additional jobs</x:v>
      </x:c>
      <x:c r="R216" s="30" t="str"/>
      <x:c r="S216" s="30" t="str"/>
      <x:c r="T216" s="30" t="str"/>
      <x:c r="U216" s="30" t="str"/>
      <x:c r="V216" s="30" t="str"/>
      <x:c r="W216" s="30" t="str"/>
      <x:c r="X216" s="30" t="str"/>
      <x:c r="Y216" s="30" t="str">
        <x:v>Not Started</x:v>
      </x:c>
      <x:c r="Z216" s="30" t="str">
        <x:v>Gemini export retained its citation label but not the live URL. Recover a source URL during research.</x:v>
      </x:c>
    </x:row>
    <x:row r="217" ht="22" customHeight="1">
      <x:c r="A217" s="30" t="str">
        <x:v>Vicor Corp</x:v>
      </x:c>
      <x:c r="B217" s="30" t="str"/>
      <x:c r="C217" s="30" t="str"/>
      <x:c r="D217" s="30" t="str">
        <x:v>Andover</x:v>
      </x:c>
      <x:c r="E217" s="30" t="str">
        <x:v>MA</x:v>
      </x:c>
      <x:c r="F217" s="30" t="str"/>
      <x:c r="G217" s="30" t="str"/>
      <x:c r="H217" s="93" t="b">
        <x:v>1</x:v>
      </x:c>
      <x:c r="I217" s="30" t="str">
        <x:v>Snov</x:v>
      </x:c>
      <x:c r="J217" s="30" t="str">
        <x:v>Gemini.docx</x:v>
      </x:c>
      <x:c r="K217" s="30" t="str">
        <x:v>Employer / Grantee</x:v>
      </x:c>
      <x:c r="L217" s="30" t="str">
        <x:v>MassHire Merrimack Valley</x:v>
      </x:c>
      <x:c r="M217" s="30" t="str">
        <x:v>[cite: 56]</x:v>
      </x:c>
      <x:c r="N217" s="30" t="str"/>
      <x:c r="O217" s="87" t="n">
        <x:v>13650</x:v>
      </x:c>
      <x:c r="P217" s="90" t="n">
        <x:v>30</x:v>
      </x:c>
      <x:c r="Q217" s="30" t="str">
        <x:v>40 additional jobs</x:v>
      </x:c>
      <x:c r="R217" s="30" t="str"/>
      <x:c r="S217" s="30" t="str"/>
      <x:c r="T217" s="30" t="str"/>
      <x:c r="U217" s="30" t="str"/>
      <x:c r="V217" s="30" t="str"/>
      <x:c r="W217" s="30" t="str"/>
      <x:c r="X217" s="30" t="str"/>
      <x:c r="Y217" s="30" t="str">
        <x:v>Not Started</x:v>
      </x:c>
      <x:c r="Z217" s="30" t="str">
        <x:v>Gemini export retained its citation label but not the live URL. Recover a source URL during research.</x:v>
      </x:c>
    </x:row>
    <x:row r="218" ht="22" customHeight="1">
      <x:c r="A218" s="30" t="str">
        <x:v>Vivonics, Inc.</x:v>
      </x:c>
      <x:c r="B218" s="30" t="str"/>
      <x:c r="C218" s="30" t="str"/>
      <x:c r="D218" s="30" t="str">
        <x:v>Bedford</x:v>
      </x:c>
      <x:c r="E218" s="30" t="str">
        <x:v>MA</x:v>
      </x:c>
      <x:c r="F218" s="30" t="str"/>
      <x:c r="G218" s="30" t="str"/>
      <x:c r="H218" s="93" t="b">
        <x:v>1</x:v>
      </x:c>
      <x:c r="I218" s="30" t="str">
        <x:v>Snov</x:v>
      </x:c>
      <x:c r="J218" s="30" t="str">
        <x:v>Gemini.docx</x:v>
      </x:c>
      <x:c r="K218" s="30" t="str">
        <x:v>Employer / Grantee</x:v>
      </x:c>
      <x:c r="L218" s="30" t="str">
        <x:v>MassHire Metro North</x:v>
      </x:c>
      <x:c r="M218" s="30" t="str">
        <x:v>[cite: 56]</x:v>
      </x:c>
      <x:c r="N218" s="30" t="str"/>
      <x:c r="O218" s="87" t="n">
        <x:v>30800</x:v>
      </x:c>
      <x:c r="P218" s="90" t="n">
        <x:v>7</x:v>
      </x:c>
      <x:c r="Q218" s="30" t="str">
        <x:v>1 additional job</x:v>
      </x:c>
      <x:c r="R218" s="30" t="str"/>
      <x:c r="S218" s="30" t="str"/>
      <x:c r="T218" s="30" t="str"/>
      <x:c r="U218" s="30" t="str"/>
      <x:c r="V218" s="30" t="str"/>
      <x:c r="W218" s="30" t="str"/>
      <x:c r="X218" s="30" t="str"/>
      <x:c r="Y218" s="30" t="str">
        <x:v>Not Started</x:v>
      </x:c>
      <x:c r="Z218" s="30" t="str">
        <x:v>Gemini export retained its citation label but not the live URL. Recover a source URL during research.</x:v>
      </x:c>
    </x:row>
    <x:row r="219" ht="22" customHeight="1">
      <x:c r="A219" s="30" t="str">
        <x:v>WareRite</x:v>
      </x:c>
      <x:c r="B219" s="30" t="str"/>
      <x:c r="C219" s="30" t="str"/>
      <x:c r="D219" s="30" t="str">
        <x:v>East Bridgewater</x:v>
      </x:c>
      <x:c r="E219" s="30" t="str">
        <x:v>MA</x:v>
      </x:c>
      <x:c r="F219" s="30" t="str"/>
      <x:c r="G219" s="30" t="str"/>
      <x:c r="H219" s="93" t="b">
        <x:v>1</x:v>
      </x:c>
      <x:c r="I219" s="30" t="str">
        <x:v>Snov</x:v>
      </x:c>
      <x:c r="J219" s="30" t="str">
        <x:v>Gemini.docx</x:v>
      </x:c>
      <x:c r="K219" s="30" t="str">
        <x:v>Employer / Grantee</x:v>
      </x:c>
      <x:c r="L219" s="30" t="str">
        <x:v>MassHire Brockton</x:v>
      </x:c>
      <x:c r="M219" s="30" t="str">
        <x:v>[cite: 2, 5]</x:v>
      </x:c>
      <x:c r="N219" s="30" t="str"/>
      <x:c r="O219" s="87" t="n">
        <x:v>45600</x:v>
      </x:c>
      <x:c r="P219" s="90" t="n">
        <x:v>21</x:v>
      </x:c>
      <x:c r="Q219" s="30" t="str">
        <x:v>None listed</x:v>
      </x:c>
      <x:c r="R219" s="30" t="str"/>
      <x:c r="S219" s="30" t="str"/>
      <x:c r="T219" s="30" t="str"/>
      <x:c r="U219" s="30" t="str"/>
      <x:c r="V219" s="30" t="str"/>
      <x:c r="W219" s="30" t="str"/>
      <x:c r="X219" s="30" t="str"/>
      <x:c r="Y219" s="30" t="str">
        <x:v>Not Started</x:v>
      </x:c>
      <x:c r="Z219" s="30" t="str">
        <x:v>Gemini export retained its citation label but not the live URL. Recover a source URL during research.</x:v>
      </x:c>
    </x:row>
    <x:row r="220" ht="22" customHeight="1">
      <x:c r="A220" s="30" t="str">
        <x:v>Wash Cycle Laundry</x:v>
      </x:c>
      <x:c r="B220" s="30" t="str"/>
      <x:c r="C220" s="30" t="str"/>
      <x:c r="D220" s="30" t="str">
        <x:v>Lynn</x:v>
      </x:c>
      <x:c r="E220" s="30" t="str">
        <x:v>MA</x:v>
      </x:c>
      <x:c r="F220" s="30" t="str"/>
      <x:c r="G220" s="30" t="str"/>
      <x:c r="H220" s="93" t="b">
        <x:v>1</x:v>
      </x:c>
      <x:c r="I220" s="30" t="str">
        <x:v>Snov</x:v>
      </x:c>
      <x:c r="J220" s="30" t="str">
        <x:v>Gemini.docx</x:v>
      </x:c>
      <x:c r="K220" s="30" t="str">
        <x:v>Employer / Grantee</x:v>
      </x:c>
      <x:c r="L220" s="30" t="str">
        <x:v>MassHire North Shore</x:v>
      </x:c>
      <x:c r="M220" s="30" t="str">
        <x:v>[cite: 27]</x:v>
      </x:c>
      <x:c r="N220" s="30" t="str"/>
      <x:c r="O220" s="87" t="n">
        <x:v>56875</x:v>
      </x:c>
      <x:c r="P220" s="90" t="n">
        <x:v>50</x:v>
      </x:c>
      <x:c r="Q220" s="30" t="str">
        <x:v>15 additional jobs</x:v>
      </x:c>
      <x:c r="R220" s="30" t="str"/>
      <x:c r="S220" s="30" t="str"/>
      <x:c r="T220" s="30" t="str"/>
      <x:c r="U220" s="30" t="str"/>
      <x:c r="V220" s="30" t="str"/>
      <x:c r="W220" s="30" t="str"/>
      <x:c r="X220" s="30" t="str"/>
      <x:c r="Y220" s="30" t="str">
        <x:v>Not Started</x:v>
      </x:c>
      <x:c r="Z220" s="30" t="str">
        <x:v>Gemini export retained its citation label but not the live URL. Recover a source URL during research.</x:v>
      </x:c>
    </x:row>
    <x:row r="221" ht="22" customHeight="1">
      <x:c r="A221" s="30" t="str">
        <x:v>Wave Life Sciences USA, Inc.</x:v>
      </x:c>
      <x:c r="B221" s="30" t="str"/>
      <x:c r="C221" s="30" t="str"/>
      <x:c r="D221" s="30" t="str">
        <x:v>Cambridge</x:v>
      </x:c>
      <x:c r="E221" s="30" t="str">
        <x:v>MA</x:v>
      </x:c>
      <x:c r="F221" s="30" t="str"/>
      <x:c r="G221" s="30" t="str"/>
      <x:c r="H221" s="93" t="b">
        <x:v>1</x:v>
      </x:c>
      <x:c r="I221" s="30" t="str">
        <x:v>Snov</x:v>
      </x:c>
      <x:c r="J221" s="30" t="str">
        <x:v>Gemini.docx</x:v>
      </x:c>
      <x:c r="K221" s="30" t="str">
        <x:v>Employer / Grantee</x:v>
      </x:c>
      <x:c r="L221" s="30" t="str">
        <x:v>MassHire Metro North</x:v>
      </x:c>
      <x:c r="M221" s="30" t="str">
        <x:v>[cite: 56]</x:v>
      </x:c>
      <x:c r="N221" s="30" t="str"/>
      <x:c r="O221" s="87" t="n">
        <x:v>114425</x:v>
      </x:c>
      <x:c r="P221" s="90" t="n">
        <x:v>271</x:v>
      </x:c>
      <x:c r="Q221" s="30" t="str">
        <x:v>150 additional jobs</x:v>
      </x:c>
      <x:c r="R221" s="30" t="str"/>
      <x:c r="S221" s="30" t="str"/>
      <x:c r="T221" s="30" t="str"/>
      <x:c r="U221" s="30" t="str"/>
      <x:c r="V221" s="30" t="str"/>
      <x:c r="W221" s="30" t="str"/>
      <x:c r="X221" s="30" t="str"/>
      <x:c r="Y221" s="30" t="str">
        <x:v>Not Started</x:v>
      </x:c>
      <x:c r="Z221" s="30" t="str">
        <x:v>Gemini export retained its citation label but not the live URL. Recover a source URL during research.</x:v>
      </x:c>
    </x:row>
    <x:row r="222" ht="22" customHeight="1">
      <x:c r="A222" s="30" t="str">
        <x:v>WeCare 365</x:v>
      </x:c>
      <x:c r="B222" s="30" t="str"/>
      <x:c r="C222" s="30" t="str"/>
      <x:c r="D222" s="30" t="str">
        <x:v>Brockton</x:v>
      </x:c>
      <x:c r="E222" s="30" t="str">
        <x:v>MA</x:v>
      </x:c>
      <x:c r="F222" s="30" t="str"/>
      <x:c r="G222" s="30" t="str"/>
      <x:c r="H222" s="93" t="b">
        <x:v>1</x:v>
      </x:c>
      <x:c r="I222" s="30" t="str">
        <x:v>Snov</x:v>
      </x:c>
      <x:c r="J222" s="30" t="str">
        <x:v>Gemini.docx</x:v>
      </x:c>
      <x:c r="K222" s="30" t="str">
        <x:v>Employer / Grantee</x:v>
      </x:c>
      <x:c r="L222" s="30" t="str">
        <x:v>MassHire Brockton</x:v>
      </x:c>
      <x:c r="M222" s="30" t="str">
        <x:v>[cite: 2, 5]</x:v>
      </x:c>
      <x:c r="N222" s="30" t="str"/>
      <x:c r="O222" s="87" t="n">
        <x:v>31800</x:v>
      </x:c>
      <x:c r="P222" s="90" t="n">
        <x:v>119</x:v>
      </x:c>
      <x:c r="Q222" s="30" t="str">
        <x:v>50 additional jobs</x:v>
      </x:c>
      <x:c r="R222" s="30" t="str"/>
      <x:c r="S222" s="30" t="str"/>
      <x:c r="T222" s="30" t="str"/>
      <x:c r="U222" s="30" t="str"/>
      <x:c r="V222" s="30" t="str"/>
      <x:c r="W222" s="30" t="str"/>
      <x:c r="X222" s="30" t="str"/>
      <x:c r="Y222" s="30" t="str">
        <x:v>Not Started</x:v>
      </x:c>
      <x:c r="Z222" s="30" t="str">
        <x:v>Gemini export retained its citation label but not the live URL. Recover a source URL during research.</x:v>
      </x:c>
    </x:row>
    <x:row r="223" ht="22" customHeight="1">
      <x:c r="A223" s="30" t="str">
        <x:v>Webster Five</x:v>
      </x:c>
      <x:c r="B223" s="30" t="str"/>
      <x:c r="C223" s="30" t="str"/>
      <x:c r="D223" s="30" t="str">
        <x:v>Auburn</x:v>
      </x:c>
      <x:c r="E223" s="30" t="str">
        <x:v>MA</x:v>
      </x:c>
      <x:c r="F223" s="30" t="str"/>
      <x:c r="G223" s="30" t="str"/>
      <x:c r="H223" s="93" t="b">
        <x:v>1</x:v>
      </x:c>
      <x:c r="I223" s="30" t="str">
        <x:v>Snov</x:v>
      </x:c>
      <x:c r="J223" s="30" t="str">
        <x:v>Gemini.docx</x:v>
      </x:c>
      <x:c r="K223" s="30" t="str">
        <x:v>Employer / Grantee</x:v>
      </x:c>
      <x:c r="L223" s="30" t="str">
        <x:v>MassHire Central MA</x:v>
      </x:c>
      <x:c r="M223" s="30" t="str">
        <x:v>[cite: 56]</x:v>
      </x:c>
      <x:c r="N223" s="30" t="str"/>
      <x:c r="O223" s="87" t="n">
        <x:v>84700</x:v>
      </x:c>
      <x:c r="P223" s="90" t="n">
        <x:v>152</x:v>
      </x:c>
      <x:c r="Q223" s="30" t="str">
        <x:v>8 additional jobs</x:v>
      </x:c>
      <x:c r="R223" s="30" t="str"/>
      <x:c r="S223" s="30" t="str"/>
      <x:c r="T223" s="30" t="str"/>
      <x:c r="U223" s="30" t="str"/>
      <x:c r="V223" s="30" t="str"/>
      <x:c r="W223" s="30" t="str"/>
      <x:c r="X223" s="30" t="str"/>
      <x:c r="Y223" s="30" t="str">
        <x:v>Not Started</x:v>
      </x:c>
      <x:c r="Z223" s="30" t="str">
        <x:v>Gemini export retained its citation label but not the live URL. Recover a source URL during research.</x:v>
      </x:c>
    </x:row>
    <x:row r="224" ht="22" customHeight="1">
      <x:c r="A224" s="30" t="str">
        <x:v>Westfield Bank</x:v>
      </x:c>
      <x:c r="B224" s="30" t="str"/>
      <x:c r="C224" s="30" t="str"/>
      <x:c r="D224" s="30" t="str">
        <x:v>Westfield</x:v>
      </x:c>
      <x:c r="E224" s="30" t="str">
        <x:v>MA</x:v>
      </x:c>
      <x:c r="F224" s="30" t="str"/>
      <x:c r="G224" s="30" t="str"/>
      <x:c r="H224" s="93" t="b">
        <x:v>1</x:v>
      </x:c>
      <x:c r="I224" s="30" t="str">
        <x:v>Snov</x:v>
      </x:c>
      <x:c r="J224" s="30" t="str">
        <x:v>Gemini.docx</x:v>
      </x:c>
      <x:c r="K224" s="30" t="str">
        <x:v>Employer / Grantee</x:v>
      </x:c>
      <x:c r="L224" s="30" t="str">
        <x:v>MassHire Hampden</x:v>
      </x:c>
      <x:c r="M224" s="30" t="str">
        <x:v>[cite: 29]</x:v>
      </x:c>
      <x:c r="N224" s="30" t="str"/>
      <x:c r="O224" s="87" t="n">
        <x:v>194768</x:v>
      </x:c>
      <x:c r="P224" s="90" t="n">
        <x:v>315</x:v>
      </x:c>
      <x:c r="Q224" s="30" t="str">
        <x:v>20 additional jobs</x:v>
      </x:c>
      <x:c r="R224" s="30" t="str"/>
      <x:c r="S224" s="30" t="str"/>
      <x:c r="T224" s="30" t="str"/>
      <x:c r="U224" s="30" t="str"/>
      <x:c r="V224" s="30" t="str"/>
      <x:c r="W224" s="30" t="str"/>
      <x:c r="X224" s="30" t="str"/>
      <x:c r="Y224" s="30" t="str">
        <x:v>Not Started</x:v>
      </x:c>
      <x:c r="Z224" s="30" t="str">
        <x:v>Gemini export retained its citation label but not the live URL. Recover a source URL during research.</x:v>
      </x:c>
    </x:row>
    <x:row r="225" ht="22" customHeight="1">
      <x:c r="A225" s="30" t="str">
        <x:v>WestRock</x:v>
      </x:c>
      <x:c r="B225" s="30" t="str"/>
      <x:c r="C225" s="30" t="str"/>
      <x:c r="D225" s="30" t="str">
        <x:v>Devens</x:v>
      </x:c>
      <x:c r="E225" s="30" t="str">
        <x:v>MA</x:v>
      </x:c>
      <x:c r="F225" s="30" t="str"/>
      <x:c r="G225" s="30" t="str"/>
      <x:c r="H225" s="93" t="b">
        <x:v>1</x:v>
      </x:c>
      <x:c r="I225" s="30" t="str">
        <x:v>Snov</x:v>
      </x:c>
      <x:c r="J225" s="30" t="str">
        <x:v>Gemini.docx</x:v>
      </x:c>
      <x:c r="K225" s="30" t="str">
        <x:v>Employer / Grantee</x:v>
      </x:c>
      <x:c r="L225" s="30" t="str">
        <x:v>MassHire Central MA</x:v>
      </x:c>
      <x:c r="M225" s="30" t="str">
        <x:v>[cite: 29, 33]</x:v>
      </x:c>
      <x:c r="N225" s="30" t="str"/>
      <x:c r="O225" s="87" t="n">
        <x:v>196000</x:v>
      </x:c>
      <x:c r="P225" s="90" t="n">
        <x:v>131</x:v>
      </x:c>
      <x:c r="Q225" s="30" t="str">
        <x:v>12 additional jobs</x:v>
      </x:c>
      <x:c r="R225" s="30" t="str"/>
      <x:c r="S225" s="30" t="str"/>
      <x:c r="T225" s="30" t="str"/>
      <x:c r="U225" s="30" t="str"/>
      <x:c r="V225" s="30" t="str"/>
      <x:c r="W225" s="30" t="str"/>
      <x:c r="X225" s="30" t="str"/>
      <x:c r="Y225" s="30" t="str">
        <x:v>Not Started</x:v>
      </x:c>
      <x:c r="Z225" s="30" t="str">
        <x:v>Gemini export retained its citation label but not the live URL. Recover a source URL during research.</x:v>
      </x:c>
    </x:row>
    <x:row r="226" ht="22" customHeight="1">
      <x:c r="A226" s="30" t="str">
        <x:v>Whitin Community Center</x:v>
      </x:c>
      <x:c r="B226" s="30" t="str"/>
      <x:c r="C226" s="30" t="str"/>
      <x:c r="D226" s="30" t="str">
        <x:v>Whitinsville</x:v>
      </x:c>
      <x:c r="E226" s="30" t="str">
        <x:v>MA</x:v>
      </x:c>
      <x:c r="F226" s="30" t="str"/>
      <x:c r="G226" s="30" t="str"/>
      <x:c r="H226" s="93" t="b">
        <x:v>1</x:v>
      </x:c>
      <x:c r="I226" s="30" t="str">
        <x:v>Snov</x:v>
      </x:c>
      <x:c r="J226" s="30" t="str">
        <x:v>Gemini.docx</x:v>
      </x:c>
      <x:c r="K226" s="30" t="str">
        <x:v>Employer / Grantee</x:v>
      </x:c>
      <x:c r="L226" s="30" t="str">
        <x:v>MassHire Central MA</x:v>
      </x:c>
      <x:c r="M226" s="30" t="str">
        <x:v>[cite: 29]</x:v>
      </x:c>
      <x:c r="N226" s="30" t="str"/>
      <x:c r="O226" s="87" t="n">
        <x:v>165900</x:v>
      </x:c>
      <x:c r="P226" s="90" t="n">
        <x:v>75</x:v>
      </x:c>
      <x:c r="Q226" s="30" t="str">
        <x:v>10 additional jobs</x:v>
      </x:c>
      <x:c r="R226" s="30" t="str"/>
      <x:c r="S226" s="30" t="str"/>
      <x:c r="T226" s="30" t="str"/>
      <x:c r="U226" s="30" t="str"/>
      <x:c r="V226" s="30" t="str"/>
      <x:c r="W226" s="30" t="str"/>
      <x:c r="X226" s="30" t="str"/>
      <x:c r="Y226" s="30" t="str">
        <x:v>Not Started</x:v>
      </x:c>
      <x:c r="Z226" s="30" t="str">
        <x:v>Gemini export retained its citation label but not the live URL. Recover a source URL during research.</x:v>
      </x:c>
    </x:row>
    <x:row r="227" ht="22" customHeight="1">
      <x:c r="A227" s="30" t="str">
        <x:v>Wirefab</x:v>
      </x:c>
      <x:c r="B227" s="30" t="str"/>
      <x:c r="C227" s="30" t="str"/>
      <x:c r="D227" s="30" t="str">
        <x:v>Worcester</x:v>
      </x:c>
      <x:c r="E227" s="30" t="str">
        <x:v>MA</x:v>
      </x:c>
      <x:c r="F227" s="30" t="str"/>
      <x:c r="G227" s="30" t="str"/>
      <x:c r="H227" s="93" t="b">
        <x:v>1</x:v>
      </x:c>
      <x:c r="I227" s="30" t="str">
        <x:v>Snov</x:v>
      </x:c>
      <x:c r="J227" s="30" t="str">
        <x:v>Gemini.docx</x:v>
      </x:c>
      <x:c r="K227" s="30" t="str">
        <x:v>Employer / Grantee</x:v>
      </x:c>
      <x:c r="L227" s="30" t="str">
        <x:v>MassHire Central MA</x:v>
      </x:c>
      <x:c r="M227" s="30" t="str">
        <x:v>[cite: 27]</x:v>
      </x:c>
      <x:c r="N227" s="30" t="str"/>
      <x:c r="O227" s="87" t="n">
        <x:v>67500</x:v>
      </x:c>
      <x:c r="P227" s="90" t="n">
        <x:v>19</x:v>
      </x:c>
      <x:c r="Q227" s="30" t="str">
        <x:v>None listed</x:v>
      </x:c>
      <x:c r="R227" s="30" t="str"/>
      <x:c r="S227" s="30" t="str"/>
      <x:c r="T227" s="30" t="str"/>
      <x:c r="U227" s="30" t="str"/>
      <x:c r="V227" s="30" t="str"/>
      <x:c r="W227" s="30" t="str"/>
      <x:c r="X227" s="30" t="str"/>
      <x:c r="Y227" s="30" t="str">
        <x:v>Not Started</x:v>
      </x:c>
      <x:c r="Z227" s="30" t="str">
        <x:v>Gemini export retained its citation label but not the live URL. Recover a source URL during research.</x:v>
      </x:c>
    </x:row>
    <x:row r="228" ht="22" customHeight="1">
      <x:c r="A228" s="30" t="str">
        <x:v>Wolf &amp; Company, P.C.</x:v>
      </x:c>
      <x:c r="B228" s="30" t="str"/>
      <x:c r="C228" s="30" t="str"/>
      <x:c r="D228" s="30" t="str">
        <x:v>Boston</x:v>
      </x:c>
      <x:c r="E228" s="30" t="str">
        <x:v>MA</x:v>
      </x:c>
      <x:c r="F228" s="30" t="str"/>
      <x:c r="G228" s="30" t="str"/>
      <x:c r="H228" s="93" t="b">
        <x:v>1</x:v>
      </x:c>
      <x:c r="I228" s="30" t="str">
        <x:v>Snov</x:v>
      </x:c>
      <x:c r="J228" s="30" t="str">
        <x:v>Gemini.docx</x:v>
      </x:c>
      <x:c r="K228" s="30" t="str">
        <x:v>Employer / Grantee</x:v>
      </x:c>
      <x:c r="L228" s="30" t="str">
        <x:v>MassHire Boston</x:v>
      </x:c>
      <x:c r="M228" s="30" t="str">
        <x:v>[cite: 56]</x:v>
      </x:c>
      <x:c r="N228" s="30" t="str"/>
      <x:c r="O228" s="87" t="n">
        <x:v>51800</x:v>
      </x:c>
      <x:c r="P228" s="90" t="n">
        <x:v>60</x:v>
      </x:c>
      <x:c r="Q228" s="30" t="str">
        <x:v>40 additional jobs</x:v>
      </x:c>
      <x:c r="R228" s="30" t="str"/>
      <x:c r="S228" s="30" t="str"/>
      <x:c r="T228" s="30" t="str"/>
      <x:c r="U228" s="30" t="str"/>
      <x:c r="V228" s="30" t="str"/>
      <x:c r="W228" s="30" t="str"/>
      <x:c r="X228" s="30" t="str"/>
      <x:c r="Y228" s="30" t="str">
        <x:v>Not Started</x:v>
      </x:c>
      <x:c r="Z228" s="30" t="str">
        <x:v>Gemini export retained its citation label but not the live URL. Recover a source URL during research.</x:v>
      </x:c>
    </x:row>
    <x:row r="229" ht="22" customHeight="1">
      <x:c r="A229" s="30" t="str">
        <x:v>Worcester Envelope Company</x:v>
      </x:c>
      <x:c r="B229" s="30" t="str"/>
      <x:c r="C229" s="30" t="str"/>
      <x:c r="D229" s="30" t="str">
        <x:v>Worcester</x:v>
      </x:c>
      <x:c r="E229" s="30" t="str">
        <x:v>MA</x:v>
      </x:c>
      <x:c r="F229" s="30" t="str"/>
      <x:c r="G229" s="30" t="str"/>
      <x:c r="H229" s="93" t="b">
        <x:v>1</x:v>
      </x:c>
      <x:c r="I229" s="30" t="str">
        <x:v>Snov</x:v>
      </x:c>
      <x:c r="J229" s="30" t="str">
        <x:v>Gemini.docx</x:v>
      </x:c>
      <x:c r="K229" s="30" t="str">
        <x:v>Employer / Grantee</x:v>
      </x:c>
      <x:c r="L229" s="30" t="str">
        <x:v>MassHire Central MA</x:v>
      </x:c>
      <x:c r="M229" s="30" t="str">
        <x:v>[cite: 56]</x:v>
      </x:c>
      <x:c r="N229" s="30" t="str"/>
      <x:c r="O229" s="87" t="n">
        <x:v>115400</x:v>
      </x:c>
      <x:c r="P229" s="90" t="n">
        <x:v>116</x:v>
      </x:c>
      <x:c r="Q229" s="30" t="str">
        <x:v>7 additional jobs</x:v>
      </x:c>
      <x:c r="R229" s="30" t="str"/>
      <x:c r="S229" s="30" t="str"/>
      <x:c r="T229" s="30" t="str"/>
      <x:c r="U229" s="30" t="str"/>
      <x:c r="V229" s="30" t="str"/>
      <x:c r="W229" s="30" t="str"/>
      <x:c r="X229" s="30" t="str"/>
      <x:c r="Y229" s="30" t="str">
        <x:v>Not Started</x:v>
      </x:c>
      <x:c r="Z229" s="30" t="str">
        <x:v>Gemini export retained its citation label but not the live URL. Recover a source URL during research.</x:v>
      </x:c>
    </x:row>
    <x:row r="230" ht="22" customHeight="1">
      <x:c r="A230" s="31" t="str">
        <x:v>Wrentham Tool Group Inc.</x:v>
      </x:c>
      <x:c r="B230" s="31" t="str"/>
      <x:c r="C230" s="31" t="str"/>
      <x:c r="D230" s="31" t="str">
        <x:v>Bellingham</x:v>
      </x:c>
      <x:c r="E230" s="31" t="str">
        <x:v>MA</x:v>
      </x:c>
      <x:c r="F230" s="31" t="str"/>
      <x:c r="G230" s="31" t="str"/>
      <x:c r="H230" s="94" t="b">
        <x:v>1</x:v>
      </x:c>
      <x:c r="I230" s="31" t="str">
        <x:v>Snov</x:v>
      </x:c>
      <x:c r="J230" s="31" t="str">
        <x:v>Gemini.docx</x:v>
      </x:c>
      <x:c r="K230" s="31" t="str">
        <x:v>Employer / Grantee</x:v>
      </x:c>
      <x:c r="L230" s="31" t="str">
        <x:v>MassHire Central MA</x:v>
      </x:c>
      <x:c r="M230" s="31" t="str">
        <x:v>[cite: 56]</x:v>
      </x:c>
      <x:c r="N230" s="31" t="str"/>
      <x:c r="O230" s="88" t="n">
        <x:v>100975</x:v>
      </x:c>
      <x:c r="P230" s="91" t="n">
        <x:v>63</x:v>
      </x:c>
      <x:c r="Q230" s="31" t="str">
        <x:v>2 additional jobs</x:v>
      </x:c>
      <x:c r="R230" s="31" t="str"/>
      <x:c r="S230" s="31" t="str"/>
      <x:c r="T230" s="31" t="str"/>
      <x:c r="U230" s="31" t="str"/>
      <x:c r="V230" s="31" t="str"/>
      <x:c r="W230" s="31" t="str"/>
      <x:c r="X230" s="31" t="str"/>
      <x:c r="Y230" s="31" t="str">
        <x:v>Not Started</x:v>
      </x:c>
      <x:c r="Z230" s="31" t="str">
        <x:v>Gemini export retained its citation label but not the live URL. Recover a source URL during research.</x:v>
      </x:c>
    </x:row>
  </x:sheetData>
  <x:conditionalFormatting sqref="Y2:Y230">
    <x:cfRule type="containsText" dxfId="0" priority="1" operator="containsText" text="Ready"/>
    <x:cfRule type="containsText" dxfId="1" priority="2" operator="containsText" text="Needs Review"/>
    <x:cfRule type="containsText" dxfId="2" priority="3" operator="containsText" text="Rejected"/>
  </x:conditionalFormatting>
  <x:conditionalFormatting sqref="X2:X230">
    <x:cfRule type="containsText" dxfId="3" priority="4" operator="containsText" text="High"/>
    <x:cfRule type="containsText" dxfId="4" priority="5" operator="containsText" text="Low"/>
  </x:conditionalFormatting>
  <x:dataValidations count="4">
    <x:dataValidation type="list" sqref="I2:I230">
      <x:formula1>"Apollo,Prospeo,Skrapp,Snov"</x:formula1>
    </x:dataValidation>
    <x:dataValidation type="list" sqref="W2:W230">
      <x:formula1>"Apollo,Prospeo,Skrapp,Snov,GetProspect,Hunter,Website,Other"</x:formula1>
    </x:dataValidation>
    <x:dataValidation type="list" sqref="X2:X230">
      <x:formula1>"High,Medium,Low"</x:formula1>
    </x:dataValidation>
    <x:dataValidation type="list" sqref="Y2:Y230">
      <x:formula1>"Not Started,In Progress,Needs Review,Ready,Rejected"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799e38cd934e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36" hidden="0" customWidth="1"/>
    <x:col min="4" max="4" width="17" hidden="0" customWidth="1"/>
    <x:col min="5" max="5" width="24" hidden="0" customWidth="1"/>
    <x:col min="6" max="6" width="27" hidden="0" customWidth="1"/>
    <x:col min="7" max="7" width="21" hidden="0" customWidth="1"/>
    <x:col min="8" max="8" width="23" hidden="0" customWidth="1"/>
    <x:col min="9" max="9" width="18" hidden="0" customWidth="1"/>
  </x:cols>
  <x:sheetData>
    <x:row r="1">
      <x:c r="A1" s="3" t="str">
        <x:v>Apollo exact queue (59)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7" t="str">
        <x:v>View-only assignment. Enter every research result in MASTER_QUEUE. Do not reveal emails during the first pass; capture company and LinkedIn data.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queueNumber</x:v>
      </x:c>
      <x:c r="B4" s="20" t="str">
        <x:v>masterRow</x:v>
      </x:c>
      <x:c r="C4" s="20" t="str">
        <x:v>company</x:v>
      </x:c>
      <x:c r="D4" s="20" t="str">
        <x:v>city</x:v>
      </x:c>
      <x:c r="E4" s="20" t="str">
        <x:v>sourceCategory</x:v>
      </x:c>
      <x:c r="F4" s="20" t="str">
        <x:v>sourceDetail</x:v>
      </x:c>
      <x:c r="G4" s="20" t="str">
        <x:v>sourceCitation</x:v>
      </x:c>
      <x:c r="H4" s="20" t="str">
        <x:v>sourceUrlStatus</x:v>
      </x:c>
      <x:c r="I4" s="21" t="str">
        <x:v>reviewStatus</x:v>
      </x:c>
    </x:row>
    <x:row r="5" ht="22" customHeight="1">
      <x:c r="A5" s="95" t="n">
        <x:v>1</x:v>
      </x:c>
      <x:c r="B5" s="95" t="n">
        <x:v>2</x:v>
      </x:c>
      <x:c r="C5" s="29" t="str">
        <x:f>'MASTER_QUEUE'!A2</x:f>
        <x:v>101 Federal Street, LLC</x:v>
      </x:c>
      <x:c r="D5" s="29" t="str">
        <x:f>'MASTER_QUEUE'!D2</x:f>
        <x:v>Boston</x:v>
      </x:c>
      <x:c r="E5" s="29" t="str">
        <x:f>'MASTER_QUEUE'!K2</x:f>
        <x:v>Verified Express grant</x:v>
      </x:c>
      <x:c r="F5" s="29" t="str">
        <x:f>'MASTER_QUEUE'!L2</x:f>
        <x:v>Express grant</x:v>
      </x:c>
      <x:c r="G5" s="29" t="str">
        <x:f>'MASTER_QUEUE'!M2</x:f>
        <x:v>CommCorp grantee sheet [13]</x:v>
      </x:c>
      <x:c r="H5" s="29" t="str">
        <x:f>IF('MASTER_QUEUE'!G2="","Recover during research","Provided")</x:f>
        <x:v>Provided</x:v>
      </x:c>
      <x:c r="I5" s="29" t="str">
        <x:f>'MASTER_QUEUE'!Y2</x:f>
        <x:v>Not Started</x:v>
      </x:c>
    </x:row>
    <x:row r="6" ht="22" customHeight="1">
      <x:c r="A6" s="96" t="n">
        <x:v>2</x:v>
      </x:c>
      <x:c r="B6" s="96" t="n">
        <x:v>3</x:v>
      </x:c>
      <x:c r="C6" s="30" t="str">
        <x:f>'MASTER_QUEUE'!A3</x:f>
        <x:v>11 Compliance Consulting Corp</x:v>
      </x:c>
      <x:c r="D6" s="30" t="str">
        <x:f>'MASTER_QUEUE'!D3</x:f>
        <x:v>Swansea</x:v>
      </x:c>
      <x:c r="E6" s="30" t="str">
        <x:f>'MASTER_QUEUE'!K3</x:f>
        <x:v>Verified Express grant</x:v>
      </x:c>
      <x:c r="F6" s="30" t="str">
        <x:f>'MASTER_QUEUE'!L3</x:f>
        <x:v>Express grant</x:v>
      </x:c>
      <x:c r="G6" s="30" t="str">
        <x:f>'MASTER_QUEUE'!M3</x:f>
        <x:v>CommCorp grantee sheet [13]</x:v>
      </x:c>
      <x:c r="H6" s="30" t="str">
        <x:f>IF('MASTER_QUEUE'!G3="","Recover during research","Provided")</x:f>
        <x:v>Provided</x:v>
      </x:c>
      <x:c r="I6" s="30" t="str">
        <x:f>'MASTER_QUEUE'!Y3</x:f>
        <x:v>Not Started</x:v>
      </x:c>
    </x:row>
    <x:row r="7" ht="22" customHeight="1">
      <x:c r="A7" s="96" t="n">
        <x:v>3</x:v>
      </x:c>
      <x:c r="B7" s="96" t="n">
        <x:v>4</x:v>
      </x:c>
      <x:c r="C7" s="30" t="str">
        <x:f>'MASTER_QUEUE'!A4</x:f>
        <x:v>12 Penny Exteriors, Inc.</x:v>
      </x:c>
      <x:c r="D7" s="30" t="str">
        <x:f>'MASTER_QUEUE'!D4</x:f>
        <x:v>Littleton</x:v>
      </x:c>
      <x:c r="E7" s="30" t="str">
        <x:f>'MASTER_QUEUE'!K4</x:f>
        <x:v>Verified Express grant</x:v>
      </x:c>
      <x:c r="F7" s="30" t="str">
        <x:f>'MASTER_QUEUE'!L4</x:f>
        <x:v>Express grant</x:v>
      </x:c>
      <x:c r="G7" s="30" t="str">
        <x:f>'MASTER_QUEUE'!M4</x:f>
        <x:v>CommCorp grantee sheet [13]</x:v>
      </x:c>
      <x:c r="H7" s="30" t="str">
        <x:f>IF('MASTER_QUEUE'!G4="","Recover during research","Provided")</x:f>
        <x:v>Provided</x:v>
      </x:c>
      <x:c r="I7" s="30" t="str">
        <x:f>'MASTER_QUEUE'!Y4</x:f>
        <x:v>Not Started</x:v>
      </x:c>
    </x:row>
    <x:row r="8" ht="22" customHeight="1">
      <x:c r="A8" s="96" t="n">
        <x:v>4</x:v>
      </x:c>
      <x:c r="B8" s="96" t="n">
        <x:v>5</x:v>
      </x:c>
      <x:c r="C8" s="30" t="str">
        <x:f>'MASTER_QUEUE'!A5</x:f>
        <x:v>1369 LLC</x:v>
      </x:c>
      <x:c r="D8" s="30" t="str">
        <x:f>'MASTER_QUEUE'!D5</x:f>
        <x:v>Cambridge</x:v>
      </x:c>
      <x:c r="E8" s="30" t="str">
        <x:f>'MASTER_QUEUE'!K5</x:f>
        <x:v>Verified Express grant</x:v>
      </x:c>
      <x:c r="F8" s="30" t="str">
        <x:f>'MASTER_QUEUE'!L5</x:f>
        <x:v>Express grant</x:v>
      </x:c>
      <x:c r="G8" s="30" t="str">
        <x:f>'MASTER_QUEUE'!M5</x:f>
        <x:v>CommCorp grantee sheet [13]</x:v>
      </x:c>
      <x:c r="H8" s="30" t="str">
        <x:f>IF('MASTER_QUEUE'!G5="","Recover during research","Provided")</x:f>
        <x:v>Provided</x:v>
      </x:c>
      <x:c r="I8" s="30" t="str">
        <x:f>'MASTER_QUEUE'!Y5</x:f>
        <x:v>Not Started</x:v>
      </x:c>
    </x:row>
    <x:row r="9" ht="22" customHeight="1">
      <x:c r="A9" s="96" t="n">
        <x:v>5</x:v>
      </x:c>
      <x:c r="B9" s="96" t="n">
        <x:v>6</x:v>
      </x:c>
      <x:c r="C9" s="30" t="str">
        <x:f>'MASTER_QUEUE'!A6</x:f>
        <x:v>23 French King Highway LLC</x:v>
      </x:c>
      <x:c r="D9" s="30" t="str">
        <x:f>'MASTER_QUEUE'!D6</x:f>
        <x:v>Gill</x:v>
      </x:c>
      <x:c r="E9" s="30" t="str">
        <x:f>'MASTER_QUEUE'!K6</x:f>
        <x:v>Verified Express grant</x:v>
      </x:c>
      <x:c r="F9" s="30" t="str">
        <x:f>'MASTER_QUEUE'!L6</x:f>
        <x:v>Express grant</x:v>
      </x:c>
      <x:c r="G9" s="30" t="str">
        <x:f>'MASTER_QUEUE'!M6</x:f>
        <x:v>CommCorp grantee sheet [13]</x:v>
      </x:c>
      <x:c r="H9" s="30" t="str">
        <x:f>IF('MASTER_QUEUE'!G6="","Recover during research","Provided")</x:f>
        <x:v>Provided</x:v>
      </x:c>
      <x:c r="I9" s="30" t="str">
        <x:f>'MASTER_QUEUE'!Y6</x:f>
        <x:v>Not Started</x:v>
      </x:c>
    </x:row>
    <x:row r="10" ht="22" customHeight="1">
      <x:c r="A10" s="96" t="n">
        <x:v>6</x:v>
      </x:c>
      <x:c r="B10" s="96" t="n">
        <x:v>7</x:v>
      </x:c>
      <x:c r="C10" s="30" t="str">
        <x:f>'MASTER_QUEUE'!A7</x:f>
        <x:v>28 Freight LLC</x:v>
      </x:c>
      <x:c r="D10" s="30" t="str">
        <x:f>'MASTER_QUEUE'!D7</x:f>
        <x:v>Wilmington</x:v>
      </x:c>
      <x:c r="E10" s="30" t="str">
        <x:f>'MASTER_QUEUE'!K7</x:f>
        <x:v>Verified Express grant</x:v>
      </x:c>
      <x:c r="F10" s="30" t="str">
        <x:f>'MASTER_QUEUE'!L7</x:f>
        <x:v>Express grant</x:v>
      </x:c>
      <x:c r="G10" s="30" t="str">
        <x:f>'MASTER_QUEUE'!M7</x:f>
        <x:v>CommCorp grantee sheet [13]</x:v>
      </x:c>
      <x:c r="H10" s="30" t="str">
        <x:f>IF('MASTER_QUEUE'!G7="","Recover during research","Provided")</x:f>
        <x:v>Provided</x:v>
      </x:c>
      <x:c r="I10" s="30" t="str">
        <x:f>'MASTER_QUEUE'!Y7</x:f>
        <x:v>Not Started</x:v>
      </x:c>
    </x:row>
    <x:row r="11" ht="22" customHeight="1">
      <x:c r="A11" s="96" t="n">
        <x:v>7</x:v>
      </x:c>
      <x:c r="B11" s="96" t="n">
        <x:v>8</x:v>
      </x:c>
      <x:c r="C11" s="30" t="str">
        <x:f>'MASTER_QUEUE'!A8</x:f>
        <x:v>2Gether We Eat Inc</x:v>
      </x:c>
      <x:c r="D11" s="30" t="str">
        <x:f>'MASTER_QUEUE'!D8</x:f>
        <x:v>Worcester</x:v>
      </x:c>
      <x:c r="E11" s="30" t="str">
        <x:f>'MASTER_QUEUE'!K8</x:f>
        <x:v>Verified Express grant</x:v>
      </x:c>
      <x:c r="F11" s="30" t="str">
        <x:f>'MASTER_QUEUE'!L8</x:f>
        <x:v>Express grant</x:v>
      </x:c>
      <x:c r="G11" s="30" t="str">
        <x:f>'MASTER_QUEUE'!M8</x:f>
        <x:v>CommCorp grantee sheet [13]</x:v>
      </x:c>
      <x:c r="H11" s="30" t="str">
        <x:f>IF('MASTER_QUEUE'!G8="","Recover during research","Provided")</x:f>
        <x:v>Provided</x:v>
      </x:c>
      <x:c r="I11" s="30" t="str">
        <x:f>'MASTER_QUEUE'!Y8</x:f>
        <x:v>Not Started</x:v>
      </x:c>
    </x:row>
    <x:row r="12" ht="22" customHeight="1">
      <x:c r="A12" s="96" t="n">
        <x:v>8</x:v>
      </x:c>
      <x:c r="B12" s="96" t="n">
        <x:v>9</x:v>
      </x:c>
      <x:c r="C12" s="30" t="str">
        <x:f>'MASTER_QUEUE'!A9</x:f>
        <x:v>3 Media Web Solutions Inc.</x:v>
      </x:c>
      <x:c r="D12" s="30" t="str">
        <x:f>'MASTER_QUEUE'!D9</x:f>
        <x:v>Boston</x:v>
      </x:c>
      <x:c r="E12" s="30" t="str">
        <x:f>'MASTER_QUEUE'!K9</x:f>
        <x:v>Verified Express grant</x:v>
      </x:c>
      <x:c r="F12" s="30" t="str">
        <x:f>'MASTER_QUEUE'!L9</x:f>
        <x:v>Express grant</x:v>
      </x:c>
      <x:c r="G12" s="30" t="str">
        <x:f>'MASTER_QUEUE'!M9</x:f>
        <x:v>CommCorp grantee sheet [13]</x:v>
      </x:c>
      <x:c r="H12" s="30" t="str">
        <x:f>IF('MASTER_QUEUE'!G9="","Recover during research","Provided")</x:f>
        <x:v>Provided</x:v>
      </x:c>
      <x:c r="I12" s="30" t="str">
        <x:f>'MASTER_QUEUE'!Y9</x:f>
        <x:v>Not Started</x:v>
      </x:c>
    </x:row>
    <x:row r="13" ht="22" customHeight="1">
      <x:c r="A13" s="96" t="n">
        <x:v>9</x:v>
      </x:c>
      <x:c r="B13" s="96" t="n">
        <x:v>10</x:v>
      </x:c>
      <x:c r="C13" s="30" t="str">
        <x:f>'MASTER_QUEUE'!A10</x:f>
        <x:v>4 Insurance LLC</x:v>
      </x:c>
      <x:c r="D13" s="30" t="str">
        <x:f>'MASTER_QUEUE'!D10</x:f>
        <x:v>Salem</x:v>
      </x:c>
      <x:c r="E13" s="30" t="str">
        <x:f>'MASTER_QUEUE'!K10</x:f>
        <x:v>Verified Express grant</x:v>
      </x:c>
      <x:c r="F13" s="30" t="str">
        <x:f>'MASTER_QUEUE'!L10</x:f>
        <x:v>Express grant</x:v>
      </x:c>
      <x:c r="G13" s="30" t="str">
        <x:f>'MASTER_QUEUE'!M10</x:f>
        <x:v>CommCorp grantee sheet [13]</x:v>
      </x:c>
      <x:c r="H13" s="30" t="str">
        <x:f>IF('MASTER_QUEUE'!G10="","Recover during research","Provided")</x:f>
        <x:v>Provided</x:v>
      </x:c>
      <x:c r="I13" s="30" t="str">
        <x:f>'MASTER_QUEUE'!Y10</x:f>
        <x:v>Not Started</x:v>
      </x:c>
    </x:row>
    <x:row r="14" ht="22" customHeight="1">
      <x:c r="A14" s="96" t="n">
        <x:v>10</x:v>
      </x:c>
      <x:c r="B14" s="96" t="n">
        <x:v>11</x:v>
      </x:c>
      <x:c r="C14" s="30" t="str">
        <x:f>'MASTER_QUEUE'!A11</x:f>
        <x:v>413 Theraworks, LLC.</x:v>
      </x:c>
      <x:c r="D14" s="30" t="str">
        <x:f>'MASTER_QUEUE'!D11</x:f>
        <x:v>North Adams</x:v>
      </x:c>
      <x:c r="E14" s="30" t="str">
        <x:f>'MASTER_QUEUE'!K11</x:f>
        <x:v>Verified Express grant</x:v>
      </x:c>
      <x:c r="F14" s="30" t="str">
        <x:f>'MASTER_QUEUE'!L11</x:f>
        <x:v>Express grant</x:v>
      </x:c>
      <x:c r="G14" s="30" t="str">
        <x:f>'MASTER_QUEUE'!M11</x:f>
        <x:v>CommCorp grantee sheet [13]</x:v>
      </x:c>
      <x:c r="H14" s="30" t="str">
        <x:f>IF('MASTER_QUEUE'!G11="","Recover during research","Provided")</x:f>
        <x:v>Provided</x:v>
      </x:c>
      <x:c r="I14" s="30" t="str">
        <x:f>'MASTER_QUEUE'!Y11</x:f>
        <x:v>Not Started</x:v>
      </x:c>
    </x:row>
    <x:row r="15" ht="22" customHeight="1">
      <x:c r="A15" s="96" t="n">
        <x:v>11</x:v>
      </x:c>
      <x:c r="B15" s="96" t="n">
        <x:v>12</x:v>
      </x:c>
      <x:c r="C15" s="30" t="str">
        <x:f>'MASTER_QUEUE'!A12</x:f>
        <x:v>5th Line Capital, LLC</x:v>
      </x:c>
      <x:c r="D15" s="30" t="str">
        <x:f>'MASTER_QUEUE'!D12</x:f>
        <x:v>Boston</x:v>
      </x:c>
      <x:c r="E15" s="30" t="str">
        <x:f>'MASTER_QUEUE'!K12</x:f>
        <x:v>Verified Express grant</x:v>
      </x:c>
      <x:c r="F15" s="30" t="str">
        <x:f>'MASTER_QUEUE'!L12</x:f>
        <x:v>Express grant</x:v>
      </x:c>
      <x:c r="G15" s="30" t="str">
        <x:f>'MASTER_QUEUE'!M12</x:f>
        <x:v>CommCorp grantee sheet [13]</x:v>
      </x:c>
      <x:c r="H15" s="30" t="str">
        <x:f>IF('MASTER_QUEUE'!G12="","Recover during research","Provided")</x:f>
        <x:v>Provided</x:v>
      </x:c>
      <x:c r="I15" s="30" t="str">
        <x:f>'MASTER_QUEUE'!Y12</x:f>
        <x:v>Not Started</x:v>
      </x:c>
    </x:row>
    <x:row r="16" ht="22" customHeight="1">
      <x:c r="A16" s="96" t="n">
        <x:v>12</x:v>
      </x:c>
      <x:c r="B16" s="96" t="n">
        <x:v>13</x:v>
      </x:c>
      <x:c r="C16" s="30" t="str">
        <x:f>'MASTER_QUEUE'!A13</x:f>
        <x:v>A &amp; A Services, Inc.</x:v>
      </x:c>
      <x:c r="D16" s="30" t="str">
        <x:f>'MASTER_QUEUE'!D13</x:f>
        <x:v>Salem</x:v>
      </x:c>
      <x:c r="E16" s="30" t="str">
        <x:f>'MASTER_QUEUE'!K13</x:f>
        <x:v>Verified Express grant</x:v>
      </x:c>
      <x:c r="F16" s="30" t="str">
        <x:f>'MASTER_QUEUE'!L13</x:f>
        <x:v>Express grant</x:v>
      </x:c>
      <x:c r="G16" s="30" t="str">
        <x:f>'MASTER_QUEUE'!M13</x:f>
        <x:v>CommCorp grantee sheet [13]</x:v>
      </x:c>
      <x:c r="H16" s="30" t="str">
        <x:f>IF('MASTER_QUEUE'!G13="","Recover during research","Provided")</x:f>
        <x:v>Provided</x:v>
      </x:c>
      <x:c r="I16" s="30" t="str">
        <x:f>'MASTER_QUEUE'!Y13</x:f>
        <x:v>Not Started</x:v>
      </x:c>
    </x:row>
    <x:row r="17" ht="22" customHeight="1">
      <x:c r="A17" s="96" t="n">
        <x:v>13</x:v>
      </x:c>
      <x:c r="B17" s="96" t="n">
        <x:v>14</x:v>
      </x:c>
      <x:c r="C17" s="30" t="str">
        <x:f>'MASTER_QUEUE'!A14</x:f>
        <x:v>A Concord Carpenter LLC</x:v>
      </x:c>
      <x:c r="D17" s="30" t="str">
        <x:f>'MASTER_QUEUE'!D14</x:f>
        <x:v>Concord</x:v>
      </x:c>
      <x:c r="E17" s="30" t="str">
        <x:f>'MASTER_QUEUE'!K14</x:f>
        <x:v>Verified Express grant</x:v>
      </x:c>
      <x:c r="F17" s="30" t="str">
        <x:f>'MASTER_QUEUE'!L14</x:f>
        <x:v>Express grant</x:v>
      </x:c>
      <x:c r="G17" s="30" t="str">
        <x:f>'MASTER_QUEUE'!M14</x:f>
        <x:v>CommCorp grantee sheet [13]</x:v>
      </x:c>
      <x:c r="H17" s="30" t="str">
        <x:f>IF('MASTER_QUEUE'!G14="","Recover during research","Provided")</x:f>
        <x:v>Provided</x:v>
      </x:c>
      <x:c r="I17" s="30" t="str">
        <x:f>'MASTER_QUEUE'!Y14</x:f>
        <x:v>Not Started</x:v>
      </x:c>
    </x:row>
    <x:row r="18" ht="22" customHeight="1">
      <x:c r="A18" s="96" t="n">
        <x:v>14</x:v>
      </x:c>
      <x:c r="B18" s="96" t="n">
        <x:v>15</x:v>
      </x:c>
      <x:c r="C18" s="30" t="str">
        <x:f>'MASTER_QUEUE'!A15</x:f>
        <x:v>A&amp;M CONSTRUCTION COMPANY, INC</x:v>
      </x:c>
      <x:c r="D18" s="30" t="str">
        <x:f>'MASTER_QUEUE'!D15</x:f>
        <x:v>Wakefield</x:v>
      </x:c>
      <x:c r="E18" s="30" t="str">
        <x:f>'MASTER_QUEUE'!K15</x:f>
        <x:v>Verified Express grant</x:v>
      </x:c>
      <x:c r="F18" s="30" t="str">
        <x:f>'MASTER_QUEUE'!L15</x:f>
        <x:v>Express grant</x:v>
      </x:c>
      <x:c r="G18" s="30" t="str">
        <x:f>'MASTER_QUEUE'!M15</x:f>
        <x:v>CommCorp grantee sheet [13]</x:v>
      </x:c>
      <x:c r="H18" s="30" t="str">
        <x:f>IF('MASTER_QUEUE'!G15="","Recover during research","Provided")</x:f>
        <x:v>Provided</x:v>
      </x:c>
      <x:c r="I18" s="30" t="str">
        <x:f>'MASTER_QUEUE'!Y15</x:f>
        <x:v>Not Started</x:v>
      </x:c>
    </x:row>
    <x:row r="19" ht="22" customHeight="1">
      <x:c r="A19" s="96" t="n">
        <x:v>15</x:v>
      </x:c>
      <x:c r="B19" s="96" t="n">
        <x:v>16</x:v>
      </x:c>
      <x:c r="C19" s="30" t="str">
        <x:f>'MASTER_QUEUE'!A16</x:f>
        <x:v>A&amp;M Tool and Die Company INC</x:v>
      </x:c>
      <x:c r="D19" s="30" t="str">
        <x:f>'MASTER_QUEUE'!D16</x:f>
        <x:v>Southbridge</x:v>
      </x:c>
      <x:c r="E19" s="30" t="str">
        <x:f>'MASTER_QUEUE'!K16</x:f>
        <x:v>Verified Express grant</x:v>
      </x:c>
      <x:c r="F19" s="30" t="str">
        <x:f>'MASTER_QUEUE'!L16</x:f>
        <x:v>Express grant</x:v>
      </x:c>
      <x:c r="G19" s="30" t="str">
        <x:f>'MASTER_QUEUE'!M16</x:f>
        <x:v>CommCorp grantee sheet [13]</x:v>
      </x:c>
      <x:c r="H19" s="30" t="str">
        <x:f>IF('MASTER_QUEUE'!G16="","Recover during research","Provided")</x:f>
        <x:v>Provided</x:v>
      </x:c>
      <x:c r="I19" s="30" t="str">
        <x:f>'MASTER_QUEUE'!Y16</x:f>
        <x:v>Not Started</x:v>
      </x:c>
    </x:row>
    <x:row r="20" ht="22" customHeight="1">
      <x:c r="A20" s="96" t="n">
        <x:v>16</x:v>
      </x:c>
      <x:c r="B20" s="96" t="n">
        <x:v>17</x:v>
      </x:c>
      <x:c r="C20" s="30" t="str">
        <x:f>'MASTER_QUEUE'!A17</x:f>
        <x:v>A&amp;S Dental Wellness Center of Lowell</x:v>
      </x:c>
      <x:c r="D20" s="30" t="str">
        <x:f>'MASTER_QUEUE'!D17</x:f>
        <x:v>Lowell</x:v>
      </x:c>
      <x:c r="E20" s="30" t="str">
        <x:f>'MASTER_QUEUE'!K17</x:f>
        <x:v>Verified Express grant</x:v>
      </x:c>
      <x:c r="F20" s="30" t="str">
        <x:f>'MASTER_QUEUE'!L17</x:f>
        <x:v>Express grant</x:v>
      </x:c>
      <x:c r="G20" s="30" t="str">
        <x:f>'MASTER_QUEUE'!M17</x:f>
        <x:v>CommCorp grantee sheet [13]</x:v>
      </x:c>
      <x:c r="H20" s="30" t="str">
        <x:f>IF('MASTER_QUEUE'!G17="","Recover during research","Provided")</x:f>
        <x:v>Provided</x:v>
      </x:c>
      <x:c r="I20" s="30" t="str">
        <x:f>'MASTER_QUEUE'!Y17</x:f>
        <x:v>Not Started</x:v>
      </x:c>
    </x:row>
    <x:row r="21" ht="22" customHeight="1">
      <x:c r="A21" s="96" t="n">
        <x:v>17</x:v>
      </x:c>
      <x:c r="B21" s="96" t="n">
        <x:v>18</x:v>
      </x:c>
      <x:c r="C21" s="30" t="str">
        <x:f>'MASTER_QUEUE'!A18</x:f>
        <x:v>A. Wisialko &amp; Company LLC</x:v>
      </x:c>
      <x:c r="D21" s="30" t="str">
        <x:f>'MASTER_QUEUE'!D18</x:f>
        <x:v>Westwood</x:v>
      </x:c>
      <x:c r="E21" s="30" t="str">
        <x:f>'MASTER_QUEUE'!K18</x:f>
        <x:v>Verified Express grant</x:v>
      </x:c>
      <x:c r="F21" s="30" t="str">
        <x:f>'MASTER_QUEUE'!L18</x:f>
        <x:v>Express grant</x:v>
      </x:c>
      <x:c r="G21" s="30" t="str">
        <x:f>'MASTER_QUEUE'!M18</x:f>
        <x:v>CommCorp grantee sheet [13]</x:v>
      </x:c>
      <x:c r="H21" s="30" t="str">
        <x:f>IF('MASTER_QUEUE'!G18="","Recover during research","Provided")</x:f>
        <x:v>Provided</x:v>
      </x:c>
      <x:c r="I21" s="30" t="str">
        <x:f>'MASTER_QUEUE'!Y18</x:f>
        <x:v>Not Started</x:v>
      </x:c>
    </x:row>
    <x:row r="22" ht="22" customHeight="1">
      <x:c r="A22" s="96" t="n">
        <x:v>18</x:v>
      </x:c>
      <x:c r="B22" s="96" t="n">
        <x:v>19</x:v>
      </x:c>
      <x:c r="C22" s="30" t="str">
        <x:f>'MASTER_QUEUE'!A19</x:f>
        <x:v>A.P.L. SERVICES INC</x:v>
      </x:c>
      <x:c r="D22" s="30" t="str">
        <x:f>'MASTER_QUEUE'!D19</x:f>
        <x:v>Braintree</x:v>
      </x:c>
      <x:c r="E22" s="30" t="str">
        <x:f>'MASTER_QUEUE'!K19</x:f>
        <x:v>Verified Express grant</x:v>
      </x:c>
      <x:c r="F22" s="30" t="str">
        <x:f>'MASTER_QUEUE'!L19</x:f>
        <x:v>Express grant</x:v>
      </x:c>
      <x:c r="G22" s="30" t="str">
        <x:f>'MASTER_QUEUE'!M19</x:f>
        <x:v>CommCorp grantee sheet [13]</x:v>
      </x:c>
      <x:c r="H22" s="30" t="str">
        <x:f>IF('MASTER_QUEUE'!G19="","Recover during research","Provided")</x:f>
        <x:v>Provided</x:v>
      </x:c>
      <x:c r="I22" s="30" t="str">
        <x:f>'MASTER_QUEUE'!Y19</x:f>
        <x:v>Not Started</x:v>
      </x:c>
    </x:row>
    <x:row r="23" ht="22" customHeight="1">
      <x:c r="A23" s="96" t="n">
        <x:v>19</x:v>
      </x:c>
      <x:c r="B23" s="96" t="n">
        <x:v>20</x:v>
      </x:c>
      <x:c r="C23" s="30" t="str">
        <x:f>'MASTER_QUEUE'!A20</x:f>
        <x:v>AAH DENTAL, PLLC</x:v>
      </x:c>
      <x:c r="D23" s="30" t="str">
        <x:f>'MASTER_QUEUE'!D20</x:f>
        <x:v>Worcester</x:v>
      </x:c>
      <x:c r="E23" s="30" t="str">
        <x:f>'MASTER_QUEUE'!K20</x:f>
        <x:v>Verified Express grant</x:v>
      </x:c>
      <x:c r="F23" s="30" t="str">
        <x:f>'MASTER_QUEUE'!L20</x:f>
        <x:v>Express grant</x:v>
      </x:c>
      <x:c r="G23" s="30" t="str">
        <x:f>'MASTER_QUEUE'!M20</x:f>
        <x:v>CommCorp grantee sheet [13]</x:v>
      </x:c>
      <x:c r="H23" s="30" t="str">
        <x:f>IF('MASTER_QUEUE'!G20="","Recover during research","Provided")</x:f>
        <x:v>Provided</x:v>
      </x:c>
      <x:c r="I23" s="30" t="str">
        <x:f>'MASTER_QUEUE'!Y20</x:f>
        <x:v>Not Started</x:v>
      </x:c>
    </x:row>
    <x:row r="24" ht="22" customHeight="1">
      <x:c r="A24" s="96" t="n">
        <x:v>20</x:v>
      </x:c>
      <x:c r="B24" s="96" t="n">
        <x:v>21</x:v>
      </x:c>
      <x:c r="C24" s="30" t="str">
        <x:f>'MASTER_QUEUE'!A21</x:f>
        <x:v>Aalanco Service Corp</x:v>
      </x:c>
      <x:c r="D24" s="30" t="str">
        <x:f>'MASTER_QUEUE'!D21</x:f>
        <x:v>Westborough</x:v>
      </x:c>
      <x:c r="E24" s="30" t="str">
        <x:f>'MASTER_QUEUE'!K21</x:f>
        <x:v>Verified Express grant</x:v>
      </x:c>
      <x:c r="F24" s="30" t="str">
        <x:f>'MASTER_QUEUE'!L21</x:f>
        <x:v>Express grant</x:v>
      </x:c>
      <x:c r="G24" s="30" t="str">
        <x:f>'MASTER_QUEUE'!M21</x:f>
        <x:v>CommCorp grantee sheet [13]</x:v>
      </x:c>
      <x:c r="H24" s="30" t="str">
        <x:f>IF('MASTER_QUEUE'!G21="","Recover during research","Provided")</x:f>
        <x:v>Provided</x:v>
      </x:c>
      <x:c r="I24" s="30" t="str">
        <x:f>'MASTER_QUEUE'!Y21</x:f>
        <x:v>Not Started</x:v>
      </x:c>
    </x:row>
    <x:row r="25" ht="22" customHeight="1">
      <x:c r="A25" s="96" t="n">
        <x:v>21</x:v>
      </x:c>
      <x:c r="B25" s="96" t="n">
        <x:v>22</x:v>
      </x:c>
      <x:c r="C25" s="30" t="str">
        <x:f>'MASTER_QUEUE'!A22</x:f>
        <x:v>Aaron Buyack, DMD, PLLC</x:v>
      </x:c>
      <x:c r="D25" s="30" t="str">
        <x:f>'MASTER_QUEUE'!D22</x:f>
        <x:v>Pittsfield</x:v>
      </x:c>
      <x:c r="E25" s="30" t="str">
        <x:f>'MASTER_QUEUE'!K22</x:f>
        <x:v>Verified Express grant</x:v>
      </x:c>
      <x:c r="F25" s="30" t="str">
        <x:f>'MASTER_QUEUE'!L22</x:f>
        <x:v>Express grant</x:v>
      </x:c>
      <x:c r="G25" s="30" t="str">
        <x:f>'MASTER_QUEUE'!M22</x:f>
        <x:v>CommCorp grantee sheet [13]</x:v>
      </x:c>
      <x:c r="H25" s="30" t="str">
        <x:f>IF('MASTER_QUEUE'!G22="","Recover during research","Provided")</x:f>
        <x:v>Provided</x:v>
      </x:c>
      <x:c r="I25" s="30" t="str">
        <x:f>'MASTER_QUEUE'!Y22</x:f>
        <x:v>Not Started</x:v>
      </x:c>
    </x:row>
    <x:row r="26" ht="22" customHeight="1">
      <x:c r="A26" s="96" t="n">
        <x:v>22</x:v>
      </x:c>
      <x:c r="B26" s="96" t="n">
        <x:v>23</x:v>
      </x:c>
      <x:c r="C26" s="30" t="str">
        <x:f>'MASTER_QUEUE'!A23</x:f>
        <x:v>Aaron Smith, PC</x:v>
      </x:c>
      <x:c r="D26" s="30" t="str">
        <x:f>'MASTER_QUEUE'!D23</x:f>
        <x:v>East Longmeadow</x:v>
      </x:c>
      <x:c r="E26" s="30" t="str">
        <x:f>'MASTER_QUEUE'!K23</x:f>
        <x:v>Verified Express grant</x:v>
      </x:c>
      <x:c r="F26" s="30" t="str">
        <x:f>'MASTER_QUEUE'!L23</x:f>
        <x:v>Express grant</x:v>
      </x:c>
      <x:c r="G26" s="30" t="str">
        <x:f>'MASTER_QUEUE'!M23</x:f>
        <x:v>CommCorp grantee sheet [13]</x:v>
      </x:c>
      <x:c r="H26" s="30" t="str">
        <x:f>IF('MASTER_QUEUE'!G23="","Recover during research","Provided")</x:f>
        <x:v>Provided</x:v>
      </x:c>
      <x:c r="I26" s="30" t="str">
        <x:f>'MASTER_QUEUE'!Y23</x:f>
        <x:v>Not Started</x:v>
      </x:c>
    </x:row>
    <x:row r="27" ht="22" customHeight="1">
      <x:c r="A27" s="96" t="n">
        <x:v>23</x:v>
      </x:c>
      <x:c r="B27" s="96" t="n">
        <x:v>24</x:v>
      </x:c>
      <x:c r="C27" s="30" t="str">
        <x:f>'MASTER_QUEUE'!A24</x:f>
        <x:v>Abbott and Company LLC</x:v>
      </x:c>
      <x:c r="D27" s="30" t="str">
        <x:f>'MASTER_QUEUE'!D24</x:f>
        <x:v>Lexington</x:v>
      </x:c>
      <x:c r="E27" s="30" t="str">
        <x:f>'MASTER_QUEUE'!K24</x:f>
        <x:v>Verified Express grant</x:v>
      </x:c>
      <x:c r="F27" s="30" t="str">
        <x:f>'MASTER_QUEUE'!L24</x:f>
        <x:v>Express grant</x:v>
      </x:c>
      <x:c r="G27" s="30" t="str">
        <x:f>'MASTER_QUEUE'!M24</x:f>
        <x:v>CommCorp grantee sheet [13]</x:v>
      </x:c>
      <x:c r="H27" s="30" t="str">
        <x:f>IF('MASTER_QUEUE'!G24="","Recover during research","Provided")</x:f>
        <x:v>Provided</x:v>
      </x:c>
      <x:c r="I27" s="30" t="str">
        <x:f>'MASTER_QUEUE'!Y24</x:f>
        <x:v>Not Started</x:v>
      </x:c>
    </x:row>
    <x:row r="28" ht="22" customHeight="1">
      <x:c r="A28" s="96" t="n">
        <x:v>24</x:v>
      </x:c>
      <x:c r="B28" s="96" t="n">
        <x:v>25</x:v>
      </x:c>
      <x:c r="C28" s="30" t="str">
        <x:f>'MASTER_QUEUE'!A25</x:f>
        <x:v>Abby Kelley Foster House, Inc.</x:v>
      </x:c>
      <x:c r="D28" s="30" t="str">
        <x:f>'MASTER_QUEUE'!D25</x:f>
        <x:v>Worcester</x:v>
      </x:c>
      <x:c r="E28" s="30" t="str">
        <x:f>'MASTER_QUEUE'!K25</x:f>
        <x:v>Verified Express grant</x:v>
      </x:c>
      <x:c r="F28" s="30" t="str">
        <x:f>'MASTER_QUEUE'!L25</x:f>
        <x:v>Express grant</x:v>
      </x:c>
      <x:c r="G28" s="30" t="str">
        <x:f>'MASTER_QUEUE'!M25</x:f>
        <x:v>CommCorp grantee sheet [13]</x:v>
      </x:c>
      <x:c r="H28" s="30" t="str">
        <x:f>IF('MASTER_QUEUE'!G25="","Recover during research","Provided")</x:f>
        <x:v>Provided</x:v>
      </x:c>
      <x:c r="I28" s="30" t="str">
        <x:f>'MASTER_QUEUE'!Y25</x:f>
        <x:v>Not Started</x:v>
      </x:c>
    </x:row>
    <x:row r="29" ht="22" customHeight="1">
      <x:c r="A29" s="96" t="n">
        <x:v>25</x:v>
      </x:c>
      <x:c r="B29" s="96" t="n">
        <x:v>26</x:v>
      </x:c>
      <x:c r="C29" s="30" t="str">
        <x:f>'MASTER_QUEUE'!A26</x:f>
        <x:v>Abode Energy Management LLC</x:v>
      </x:c>
      <x:c r="D29" s="30" t="str">
        <x:f>'MASTER_QUEUE'!D26</x:f>
        <x:v>Concord</x:v>
      </x:c>
      <x:c r="E29" s="30" t="str">
        <x:f>'MASTER_QUEUE'!K26</x:f>
        <x:v>Verified Express grant</x:v>
      </x:c>
      <x:c r="F29" s="30" t="str">
        <x:f>'MASTER_QUEUE'!L26</x:f>
        <x:v>Express grant</x:v>
      </x:c>
      <x:c r="G29" s="30" t="str">
        <x:f>'MASTER_QUEUE'!M26</x:f>
        <x:v>CommCorp grantee sheet [14]</x:v>
      </x:c>
      <x:c r="H29" s="30" t="str">
        <x:f>IF('MASTER_QUEUE'!G26="","Recover during research","Provided")</x:f>
        <x:v>Provided</x:v>
      </x:c>
      <x:c r="I29" s="30" t="str">
        <x:f>'MASTER_QUEUE'!Y26</x:f>
        <x:v>Not Started</x:v>
      </x:c>
    </x:row>
    <x:row r="30" ht="22" customHeight="1">
      <x:c r="A30" s="96" t="n">
        <x:v>26</x:v>
      </x:c>
      <x:c r="B30" s="96" t="n">
        <x:v>27</x:v>
      </x:c>
      <x:c r="C30" s="30" t="str">
        <x:f>'MASTER_QUEUE'!A27</x:f>
        <x:v>About Fresh, Inc.</x:v>
      </x:c>
      <x:c r="D30" s="30" t="str">
        <x:f>'MASTER_QUEUE'!D27</x:f>
        <x:v>Boston</x:v>
      </x:c>
      <x:c r="E30" s="30" t="str">
        <x:f>'MASTER_QUEUE'!K27</x:f>
        <x:v>Verified Express grant</x:v>
      </x:c>
      <x:c r="F30" s="30" t="str">
        <x:f>'MASTER_QUEUE'!L27</x:f>
        <x:v>Express grant</x:v>
      </x:c>
      <x:c r="G30" s="30" t="str">
        <x:f>'MASTER_QUEUE'!M27</x:f>
        <x:v>CommCorp grantee sheet [14]</x:v>
      </x:c>
      <x:c r="H30" s="30" t="str">
        <x:f>IF('MASTER_QUEUE'!G27="","Recover during research","Provided")</x:f>
        <x:v>Provided</x:v>
      </x:c>
      <x:c r="I30" s="30" t="str">
        <x:f>'MASTER_QUEUE'!Y27</x:f>
        <x:v>Not Started</x:v>
      </x:c>
    </x:row>
    <x:row r="31" ht="22" customHeight="1">
      <x:c r="A31" s="96" t="n">
        <x:v>27</x:v>
      </x:c>
      <x:c r="B31" s="96" t="n">
        <x:v>28</x:v>
      </x:c>
      <x:c r="C31" s="30" t="str">
        <x:f>'MASTER_QUEUE'!A28</x:f>
        <x:v>Abside Networks Inc</x:v>
      </x:c>
      <x:c r="D31" s="30" t="str">
        <x:f>'MASTER_QUEUE'!D28</x:f>
        <x:v>Acton</x:v>
      </x:c>
      <x:c r="E31" s="30" t="str">
        <x:f>'MASTER_QUEUE'!K28</x:f>
        <x:v>Verified Express grant</x:v>
      </x:c>
      <x:c r="F31" s="30" t="str">
        <x:f>'MASTER_QUEUE'!L28</x:f>
        <x:v>Express grant</x:v>
      </x:c>
      <x:c r="G31" s="30" t="str">
        <x:f>'MASTER_QUEUE'!M28</x:f>
        <x:v>CommCorp grantee sheet [14]</x:v>
      </x:c>
      <x:c r="H31" s="30" t="str">
        <x:f>IF('MASTER_QUEUE'!G28="","Recover during research","Provided")</x:f>
        <x:v>Provided</x:v>
      </x:c>
      <x:c r="I31" s="30" t="str">
        <x:f>'MASTER_QUEUE'!Y28</x:f>
        <x:v>Not Started</x:v>
      </x:c>
    </x:row>
    <x:row r="32" ht="22" customHeight="1">
      <x:c r="A32" s="96" t="n">
        <x:v>28</x:v>
      </x:c>
      <x:c r="B32" s="96" t="n">
        <x:v>29</x:v>
      </x:c>
      <x:c r="C32" s="30" t="str">
        <x:f>'MASTER_QUEUE'!A29</x:f>
        <x:v>Absolute Metal Finishing, Inc.</x:v>
      </x:c>
      <x:c r="D32" s="30" t="str">
        <x:f>'MASTER_QUEUE'!D29</x:f>
        <x:v>Norwood</x:v>
      </x:c>
      <x:c r="E32" s="30" t="str">
        <x:f>'MASTER_QUEUE'!K29</x:f>
        <x:v>Verified Express grant</x:v>
      </x:c>
      <x:c r="F32" s="30" t="str">
        <x:f>'MASTER_QUEUE'!L29</x:f>
        <x:v>Express grant</x:v>
      </x:c>
      <x:c r="G32" s="30" t="str">
        <x:f>'MASTER_QUEUE'!M29</x:f>
        <x:v>CommCorp grantee sheet [14]</x:v>
      </x:c>
      <x:c r="H32" s="30" t="str">
        <x:f>IF('MASTER_QUEUE'!G29="","Recover during research","Provided")</x:f>
        <x:v>Provided</x:v>
      </x:c>
      <x:c r="I32" s="30" t="str">
        <x:f>'MASTER_QUEUE'!Y29</x:f>
        <x:v>Not Started</x:v>
      </x:c>
    </x:row>
    <x:row r="33" ht="22" customHeight="1">
      <x:c r="A33" s="96" t="n">
        <x:v>29</x:v>
      </x:c>
      <x:c r="B33" s="96" t="n">
        <x:v>30</x:v>
      </x:c>
      <x:c r="C33" s="30" t="str">
        <x:f>'MASTER_QUEUE'!A30</x:f>
        <x:v>Abundant Housing Massachusetts Inc</x:v>
      </x:c>
      <x:c r="D33" s="30" t="str">
        <x:f>'MASTER_QUEUE'!D30</x:f>
        <x:v>Boston</x:v>
      </x:c>
      <x:c r="E33" s="30" t="str">
        <x:f>'MASTER_QUEUE'!K30</x:f>
        <x:v>Verified Express grant</x:v>
      </x:c>
      <x:c r="F33" s="30" t="str">
        <x:f>'MASTER_QUEUE'!L30</x:f>
        <x:v>Express grant</x:v>
      </x:c>
      <x:c r="G33" s="30" t="str">
        <x:f>'MASTER_QUEUE'!M30</x:f>
        <x:v>CommCorp grantee sheet [14]</x:v>
      </x:c>
      <x:c r="H33" s="30" t="str">
        <x:f>IF('MASTER_QUEUE'!G30="","Recover during research","Provided")</x:f>
        <x:v>Provided</x:v>
      </x:c>
      <x:c r="I33" s="30" t="str">
        <x:f>'MASTER_QUEUE'!Y30</x:f>
        <x:v>Not Started</x:v>
      </x:c>
    </x:row>
    <x:row r="34" ht="22" customHeight="1">
      <x:c r="A34" s="96" t="n">
        <x:v>30</x:v>
      </x:c>
      <x:c r="B34" s="96" t="n">
        <x:v>31</x:v>
      </x:c>
      <x:c r="C34" s="30" t="str">
        <x:f>'MASTER_QUEUE'!A31</x:f>
        <x:v>Academy Fulfillment LLC</x:v>
      </x:c>
      <x:c r="D34" s="30" t="str">
        <x:f>'MASTER_QUEUE'!D31</x:f>
        <x:v>Sandwich</x:v>
      </x:c>
      <x:c r="E34" s="30" t="str">
        <x:f>'MASTER_QUEUE'!K31</x:f>
        <x:v>Verified Express grant</x:v>
      </x:c>
      <x:c r="F34" s="30" t="str">
        <x:f>'MASTER_QUEUE'!L31</x:f>
        <x:v>Express grant</x:v>
      </x:c>
      <x:c r="G34" s="30" t="str">
        <x:f>'MASTER_QUEUE'!M31</x:f>
        <x:v>CommCorp grantee sheet [14]</x:v>
      </x:c>
      <x:c r="H34" s="30" t="str">
        <x:f>IF('MASTER_QUEUE'!G31="","Recover during research","Provided")</x:f>
        <x:v>Provided</x:v>
      </x:c>
      <x:c r="I34" s="30" t="str">
        <x:f>'MASTER_QUEUE'!Y31</x:f>
        <x:v>Not Started</x:v>
      </x:c>
    </x:row>
    <x:row r="35" ht="22" customHeight="1">
      <x:c r="A35" s="96" t="n">
        <x:v>31</x:v>
      </x:c>
      <x:c r="B35" s="96" t="n">
        <x:v>32</x:v>
      </x:c>
      <x:c r="C35" s="30" t="str">
        <x:f>'MASTER_QUEUE'!A32</x:f>
        <x:v>Acadia Management Co. Inc.</x:v>
      </x:c>
      <x:c r="D35" s="30" t="str">
        <x:f>'MASTER_QUEUE'!D32</x:f>
        <x:v>Boston</x:v>
      </x:c>
      <x:c r="E35" s="30" t="str">
        <x:f>'MASTER_QUEUE'!K32</x:f>
        <x:v>Verified Express grant</x:v>
      </x:c>
      <x:c r="F35" s="30" t="str">
        <x:f>'MASTER_QUEUE'!L32</x:f>
        <x:v>Express grant</x:v>
      </x:c>
      <x:c r="G35" s="30" t="str">
        <x:f>'MASTER_QUEUE'!M32</x:f>
        <x:v>CommCorp grantee sheet [14]</x:v>
      </x:c>
      <x:c r="H35" s="30" t="str">
        <x:f>IF('MASTER_QUEUE'!G32="","Recover during research","Provided")</x:f>
        <x:v>Provided</x:v>
      </x:c>
      <x:c r="I35" s="30" t="str">
        <x:f>'MASTER_QUEUE'!Y32</x:f>
        <x:v>Not Started</x:v>
      </x:c>
    </x:row>
    <x:row r="36" ht="22" customHeight="1">
      <x:c r="A36" s="96" t="n">
        <x:v>32</x:v>
      </x:c>
      <x:c r="B36" s="96" t="n">
        <x:v>33</x:v>
      </x:c>
      <x:c r="C36" s="30" t="str">
        <x:f>'MASTER_QUEUE'!A33</x:f>
        <x:v>Accent Therapeutics, Inc.</x:v>
      </x:c>
      <x:c r="D36" s="30" t="str">
        <x:f>'MASTER_QUEUE'!D33</x:f>
        <x:v>Lexington</x:v>
      </x:c>
      <x:c r="E36" s="30" t="str">
        <x:f>'MASTER_QUEUE'!K33</x:f>
        <x:v>Verified Express grant</x:v>
      </x:c>
      <x:c r="F36" s="30" t="str">
        <x:f>'MASTER_QUEUE'!L33</x:f>
        <x:v>Express grant</x:v>
      </x:c>
      <x:c r="G36" s="30" t="str">
        <x:f>'MASTER_QUEUE'!M33</x:f>
        <x:v>CommCorp grantee sheet [14]</x:v>
      </x:c>
      <x:c r="H36" s="30" t="str">
        <x:f>IF('MASTER_QUEUE'!G33="","Recover during research","Provided")</x:f>
        <x:v>Provided</x:v>
      </x:c>
      <x:c r="I36" s="30" t="str">
        <x:f>'MASTER_QUEUE'!Y33</x:f>
        <x:v>Not Started</x:v>
      </x:c>
    </x:row>
    <x:row r="37" ht="22" customHeight="1">
      <x:c r="A37" s="96" t="n">
        <x:v>33</x:v>
      </x:c>
      <x:c r="B37" s="96" t="n">
        <x:v>34</x:v>
      </x:c>
      <x:c r="C37" s="30" t="str">
        <x:f>'MASTER_QUEUE'!A34</x:f>
        <x:v>Accountable Care Transactions Inc</x:v>
      </x:c>
      <x:c r="D37" s="30" t="str">
        <x:f>'MASTER_QUEUE'!D34</x:f>
        <x:v>Boston</x:v>
      </x:c>
      <x:c r="E37" s="30" t="str">
        <x:f>'MASTER_QUEUE'!K34</x:f>
        <x:v>Verified Express grant</x:v>
      </x:c>
      <x:c r="F37" s="30" t="str">
        <x:f>'MASTER_QUEUE'!L34</x:f>
        <x:v>Express grant</x:v>
      </x:c>
      <x:c r="G37" s="30" t="str">
        <x:f>'MASTER_QUEUE'!M34</x:f>
        <x:v>CommCorp grantee sheet [14]</x:v>
      </x:c>
      <x:c r="H37" s="30" t="str">
        <x:f>IF('MASTER_QUEUE'!G34="","Recover during research","Provided")</x:f>
        <x:v>Provided</x:v>
      </x:c>
      <x:c r="I37" s="30" t="str">
        <x:f>'MASTER_QUEUE'!Y34</x:f>
        <x:v>Not Started</x:v>
      </x:c>
    </x:row>
    <x:row r="38" ht="22" customHeight="1">
      <x:c r="A38" s="96" t="n">
        <x:v>34</x:v>
      </x:c>
      <x:c r="B38" s="96" t="n">
        <x:v>35</x:v>
      </x:c>
      <x:c r="C38" s="30" t="str">
        <x:f>'MASTER_QUEUE'!A35</x:f>
        <x:v>Accountaides Inc</x:v>
      </x:c>
      <x:c r="D38" s="30" t="str">
        <x:f>'MASTER_QUEUE'!D35</x:f>
        <x:v>West Springfield</x:v>
      </x:c>
      <x:c r="E38" s="30" t="str">
        <x:f>'MASTER_QUEUE'!K35</x:f>
        <x:v>Verified Express grant</x:v>
      </x:c>
      <x:c r="F38" s="30" t="str">
        <x:f>'MASTER_QUEUE'!L35</x:f>
        <x:v>Express grant</x:v>
      </x:c>
      <x:c r="G38" s="30" t="str">
        <x:f>'MASTER_QUEUE'!M35</x:f>
        <x:v>CommCorp grantee sheet [14]</x:v>
      </x:c>
      <x:c r="H38" s="30" t="str">
        <x:f>IF('MASTER_QUEUE'!G35="","Recover during research","Provided")</x:f>
        <x:v>Provided</x:v>
      </x:c>
      <x:c r="I38" s="30" t="str">
        <x:f>'MASTER_QUEUE'!Y35</x:f>
        <x:v>Not Started</x:v>
      </x:c>
    </x:row>
    <x:row r="39" ht="22" customHeight="1">
      <x:c r="A39" s="96" t="n">
        <x:v>35</x:v>
      </x:c>
      <x:c r="B39" s="96" t="n">
        <x:v>36</x:v>
      </x:c>
      <x:c r="C39" s="30" t="str">
        <x:f>'MASTER_QUEUE'!A36</x:f>
        <x:v>AccounTax Associates LLC</x:v>
      </x:c>
      <x:c r="D39" s="30" t="str">
        <x:f>'MASTER_QUEUE'!D36</x:f>
        <x:v>Chelmsford</x:v>
      </x:c>
      <x:c r="E39" s="30" t="str">
        <x:f>'MASTER_QUEUE'!K36</x:f>
        <x:v>Verified Express grant</x:v>
      </x:c>
      <x:c r="F39" s="30" t="str">
        <x:f>'MASTER_QUEUE'!L36</x:f>
        <x:v>Express grant</x:v>
      </x:c>
      <x:c r="G39" s="30" t="str">
        <x:f>'MASTER_QUEUE'!M36</x:f>
        <x:v>CommCorp grantee sheet [14]</x:v>
      </x:c>
      <x:c r="H39" s="30" t="str">
        <x:f>IF('MASTER_QUEUE'!G36="","Recover during research","Provided")</x:f>
        <x:v>Provided</x:v>
      </x:c>
      <x:c r="I39" s="30" t="str">
        <x:f>'MASTER_QUEUE'!Y36</x:f>
        <x:v>Not Started</x:v>
      </x:c>
    </x:row>
    <x:row r="40" ht="22" customHeight="1">
      <x:c r="A40" s="96" t="n">
        <x:v>36</x:v>
      </x:c>
      <x:c r="B40" s="96" t="n">
        <x:v>37</x:v>
      </x:c>
      <x:c r="C40" s="30" t="str">
        <x:f>'MASTER_QUEUE'!A37</x:f>
        <x:v>Accumet Engineering Inc.</x:v>
      </x:c>
      <x:c r="D40" s="30" t="str">
        <x:f>'MASTER_QUEUE'!D37</x:f>
        <x:v>Devens</x:v>
      </x:c>
      <x:c r="E40" s="30" t="str">
        <x:f>'MASTER_QUEUE'!K37</x:f>
        <x:v>Verified Express grant</x:v>
      </x:c>
      <x:c r="F40" s="30" t="str">
        <x:f>'MASTER_QUEUE'!L37</x:f>
        <x:v>Express grant</x:v>
      </x:c>
      <x:c r="G40" s="30" t="str">
        <x:f>'MASTER_QUEUE'!M37</x:f>
        <x:v>CommCorp grantee sheet [14]</x:v>
      </x:c>
      <x:c r="H40" s="30" t="str">
        <x:f>IF('MASTER_QUEUE'!G37="","Recover during research","Provided")</x:f>
        <x:v>Provided</x:v>
      </x:c>
      <x:c r="I40" s="30" t="str">
        <x:f>'MASTER_QUEUE'!Y37</x:f>
        <x:v>Not Started</x:v>
      </x:c>
    </x:row>
    <x:row r="41" ht="22" customHeight="1">
      <x:c r="A41" s="96" t="n">
        <x:v>37</x:v>
      </x:c>
      <x:c r="B41" s="96" t="n">
        <x:v>38</x:v>
      </x:c>
      <x:c r="C41" s="30" t="str">
        <x:f>'MASTER_QUEUE'!A38</x:f>
        <x:v>ACCURATE MEDICAL COOLING INC</x:v>
      </x:c>
      <x:c r="D41" s="30" t="str">
        <x:f>'MASTER_QUEUE'!D38</x:f>
        <x:v>North Brookfield</x:v>
      </x:c>
      <x:c r="E41" s="30" t="str">
        <x:f>'MASTER_QUEUE'!K38</x:f>
        <x:v>Verified Express grant</x:v>
      </x:c>
      <x:c r="F41" s="30" t="str">
        <x:f>'MASTER_QUEUE'!L38</x:f>
        <x:v>Express grant</x:v>
      </x:c>
      <x:c r="G41" s="30" t="str">
        <x:f>'MASTER_QUEUE'!M38</x:f>
        <x:v>CommCorp grantee sheet [14]</x:v>
      </x:c>
      <x:c r="H41" s="30" t="str">
        <x:f>IF('MASTER_QUEUE'!G38="","Recover during research","Provided")</x:f>
        <x:v>Provided</x:v>
      </x:c>
      <x:c r="I41" s="30" t="str">
        <x:f>'MASTER_QUEUE'!Y38</x:f>
        <x:v>Not Started</x:v>
      </x:c>
    </x:row>
    <x:row r="42" ht="22" customHeight="1">
      <x:c r="A42" s="96" t="n">
        <x:v>38</x:v>
      </x:c>
      <x:c r="B42" s="96" t="n">
        <x:v>39</x:v>
      </x:c>
      <x:c r="C42" s="30" t="str">
        <x:f>'MASTER_QUEUE'!A39</x:f>
        <x:v>Accutech Packaging, Inc.</x:v>
      </x:c>
      <x:c r="D42" s="30" t="str">
        <x:f>'MASTER_QUEUE'!D39</x:f>
        <x:v>Foxborough</x:v>
      </x:c>
      <x:c r="E42" s="30" t="str">
        <x:f>'MASTER_QUEUE'!K39</x:f>
        <x:v>Verified Express grant</x:v>
      </x:c>
      <x:c r="F42" s="30" t="str">
        <x:f>'MASTER_QUEUE'!L39</x:f>
        <x:v>Express grant</x:v>
      </x:c>
      <x:c r="G42" s="30" t="str">
        <x:f>'MASTER_QUEUE'!M39</x:f>
        <x:v>CommCorp grantee sheet [14]</x:v>
      </x:c>
      <x:c r="H42" s="30" t="str">
        <x:f>IF('MASTER_QUEUE'!G39="","Recover during research","Provided")</x:f>
        <x:v>Provided</x:v>
      </x:c>
      <x:c r="I42" s="30" t="str">
        <x:f>'MASTER_QUEUE'!Y39</x:f>
        <x:v>Not Started</x:v>
      </x:c>
    </x:row>
    <x:row r="43" ht="22" customHeight="1">
      <x:c r="A43" s="96" t="n">
        <x:v>39</x:v>
      </x:c>
      <x:c r="B43" s="96" t="n">
        <x:v>40</x:v>
      </x:c>
      <x:c r="C43" s="30" t="str">
        <x:f>'MASTER_QUEUE'!A40</x:f>
        <x:v>Accutronics LLC</x:v>
      </x:c>
      <x:c r="D43" s="30" t="str">
        <x:f>'MASTER_QUEUE'!D40</x:f>
        <x:v>Chelmsford</x:v>
      </x:c>
      <x:c r="E43" s="30" t="str">
        <x:f>'MASTER_QUEUE'!K40</x:f>
        <x:v>Verified Express grant</x:v>
      </x:c>
      <x:c r="F43" s="30" t="str">
        <x:f>'MASTER_QUEUE'!L40</x:f>
        <x:v>Express grant</x:v>
      </x:c>
      <x:c r="G43" s="30" t="str">
        <x:f>'MASTER_QUEUE'!M40</x:f>
        <x:v>CommCorp grantee sheet [14]</x:v>
      </x:c>
      <x:c r="H43" s="30" t="str">
        <x:f>IF('MASTER_QUEUE'!G40="","Recover during research","Provided")</x:f>
        <x:v>Provided</x:v>
      </x:c>
      <x:c r="I43" s="30" t="str">
        <x:f>'MASTER_QUEUE'!Y40</x:f>
        <x:v>Not Started</x:v>
      </x:c>
    </x:row>
    <x:row r="44" ht="22" customHeight="1">
      <x:c r="A44" s="96" t="n">
        <x:v>40</x:v>
      </x:c>
      <x:c r="B44" s="96" t="n">
        <x:v>41</x:v>
      </x:c>
      <x:c r="C44" s="30" t="str">
        <x:f>'MASTER_QUEUE'!A41</x:f>
        <x:v>Aclarity Inc.</x:v>
      </x:c>
      <x:c r="D44" s="30" t="str">
        <x:f>'MASTER_QUEUE'!D41</x:f>
        <x:v>Medway</x:v>
      </x:c>
      <x:c r="E44" s="30" t="str">
        <x:f>'MASTER_QUEUE'!K41</x:f>
        <x:v>Verified Express grant</x:v>
      </x:c>
      <x:c r="F44" s="30" t="str">
        <x:f>'MASTER_QUEUE'!L41</x:f>
        <x:v>Express grant</x:v>
      </x:c>
      <x:c r="G44" s="30" t="str">
        <x:f>'MASTER_QUEUE'!M41</x:f>
        <x:v>CommCorp grantee sheet [14]</x:v>
      </x:c>
      <x:c r="H44" s="30" t="str">
        <x:f>IF('MASTER_QUEUE'!G41="","Recover during research","Provided")</x:f>
        <x:v>Provided</x:v>
      </x:c>
      <x:c r="I44" s="30" t="str">
        <x:f>'MASTER_QUEUE'!Y41</x:f>
        <x:v>Not Started</x:v>
      </x:c>
    </x:row>
    <x:row r="45" ht="22" customHeight="1">
      <x:c r="A45" s="96" t="n">
        <x:v>41</x:v>
      </x:c>
      <x:c r="B45" s="96" t="n">
        <x:v>42</x:v>
      </x:c>
      <x:c r="C45" s="30" t="str">
        <x:f>'MASTER_QUEUE'!A42</x:f>
        <x:v>ACNS Acquisition, LLC</x:v>
      </x:c>
      <x:c r="D45" s="30" t="str">
        <x:f>'MASTER_QUEUE'!D42</x:f>
        <x:v>North Attleborough</x:v>
      </x:c>
      <x:c r="E45" s="30" t="str">
        <x:f>'MASTER_QUEUE'!K42</x:f>
        <x:v>Verified Express grant</x:v>
      </x:c>
      <x:c r="F45" s="30" t="str">
        <x:f>'MASTER_QUEUE'!L42</x:f>
        <x:v>Express grant</x:v>
      </x:c>
      <x:c r="G45" s="30" t="str">
        <x:f>'MASTER_QUEUE'!M42</x:f>
        <x:v>CommCorp grantee sheet [14]</x:v>
      </x:c>
      <x:c r="H45" s="30" t="str">
        <x:f>IF('MASTER_QUEUE'!G42="","Recover during research","Provided")</x:f>
        <x:v>Provided</x:v>
      </x:c>
      <x:c r="I45" s="30" t="str">
        <x:f>'MASTER_QUEUE'!Y42</x:f>
        <x:v>Not Started</x:v>
      </x:c>
    </x:row>
    <x:row r="46" ht="22" customHeight="1">
      <x:c r="A46" s="96" t="n">
        <x:v>42</x:v>
      </x:c>
      <x:c r="B46" s="96" t="n">
        <x:v>43</x:v>
      </x:c>
      <x:c r="C46" s="30" t="str">
        <x:f>'MASTER_QUEUE'!A43</x:f>
        <x:v>Acoustic Wells Inc</x:v>
      </x:c>
      <x:c r="D46" s="30" t="str">
        <x:f>'MASTER_QUEUE'!D43</x:f>
        <x:v>Boston</x:v>
      </x:c>
      <x:c r="E46" s="30" t="str">
        <x:f>'MASTER_QUEUE'!K43</x:f>
        <x:v>Verified Express grant</x:v>
      </x:c>
      <x:c r="F46" s="30" t="str">
        <x:f>'MASTER_QUEUE'!L43</x:f>
        <x:v>Express grant</x:v>
      </x:c>
      <x:c r="G46" s="30" t="str">
        <x:f>'MASTER_QUEUE'!M43</x:f>
        <x:v>CommCorp grantee sheet [14]</x:v>
      </x:c>
      <x:c r="H46" s="30" t="str">
        <x:f>IF('MASTER_QUEUE'!G43="","Recover during research","Provided")</x:f>
        <x:v>Provided</x:v>
      </x:c>
      <x:c r="I46" s="30" t="str">
        <x:f>'MASTER_QUEUE'!Y43</x:f>
        <x:v>Not Started</x:v>
      </x:c>
    </x:row>
    <x:row r="47" ht="22" customHeight="1">
      <x:c r="A47" s="96" t="n">
        <x:v>43</x:v>
      </x:c>
      <x:c r="B47" s="96" t="n">
        <x:v>44</x:v>
      </x:c>
      <x:c r="C47" s="30" t="str">
        <x:f>'MASTER_QUEUE'!A44</x:f>
        <x:v>Acrivon Therapeutics Inc.</x:v>
      </x:c>
      <x:c r="D47" s="30" t="str">
        <x:f>'MASTER_QUEUE'!D44</x:f>
        <x:v>Watertown</x:v>
      </x:c>
      <x:c r="E47" s="30" t="str">
        <x:f>'MASTER_QUEUE'!K44</x:f>
        <x:v>Verified Express grant</x:v>
      </x:c>
      <x:c r="F47" s="30" t="str">
        <x:f>'MASTER_QUEUE'!L44</x:f>
        <x:v>Express grant</x:v>
      </x:c>
      <x:c r="G47" s="30" t="str">
        <x:f>'MASTER_QUEUE'!M44</x:f>
        <x:v>CommCorp grantee sheet [14]</x:v>
      </x:c>
      <x:c r="H47" s="30" t="str">
        <x:f>IF('MASTER_QUEUE'!G44="","Recover during research","Provided")</x:f>
        <x:v>Provided</x:v>
      </x:c>
      <x:c r="I47" s="30" t="str">
        <x:f>'MASTER_QUEUE'!Y44</x:f>
        <x:v>Not Started</x:v>
      </x:c>
    </x:row>
    <x:row r="48" ht="22" customHeight="1">
      <x:c r="A48" s="96" t="n">
        <x:v>44</x:v>
      </x:c>
      <x:c r="B48" s="96" t="n">
        <x:v>45</x:v>
      </x:c>
      <x:c r="C48" s="30" t="str">
        <x:f>'MASTER_QUEUE'!A45</x:f>
        <x:v>Acropolis Design Consultants Inc.</x:v>
      </x:c>
      <x:c r="D48" s="30" t="str">
        <x:f>'MASTER_QUEUE'!D45</x:f>
        <x:v>Worcester</x:v>
      </x:c>
      <x:c r="E48" s="30" t="str">
        <x:f>'MASTER_QUEUE'!K45</x:f>
        <x:v>Verified Express grant</x:v>
      </x:c>
      <x:c r="F48" s="30" t="str">
        <x:f>'MASTER_QUEUE'!L45</x:f>
        <x:v>Express grant</x:v>
      </x:c>
      <x:c r="G48" s="30" t="str">
        <x:f>'MASTER_QUEUE'!M45</x:f>
        <x:v>CommCorp grantee sheet [14]</x:v>
      </x:c>
      <x:c r="H48" s="30" t="str">
        <x:f>IF('MASTER_QUEUE'!G45="","Recover during research","Provided")</x:f>
        <x:v>Provided</x:v>
      </x:c>
      <x:c r="I48" s="30" t="str">
        <x:f>'MASTER_QUEUE'!Y45</x:f>
        <x:v>Not Started</x:v>
      </x:c>
    </x:row>
    <x:row r="49" ht="22" customHeight="1">
      <x:c r="A49" s="96" t="n">
        <x:v>45</x:v>
      </x:c>
      <x:c r="B49" s="96" t="n">
        <x:v>46</x:v>
      </x:c>
      <x:c r="C49" s="30" t="str">
        <x:f>'MASTER_QUEUE'!A46</x:f>
        <x:v>ACS Computer Services Inc.</x:v>
      </x:c>
      <x:c r="D49" s="30" t="str">
        <x:f>'MASTER_QUEUE'!D46</x:f>
        <x:v>Brockton</x:v>
      </x:c>
      <x:c r="E49" s="30" t="str">
        <x:f>'MASTER_QUEUE'!K46</x:f>
        <x:v>Verified Express grant</x:v>
      </x:c>
      <x:c r="F49" s="30" t="str">
        <x:f>'MASTER_QUEUE'!L46</x:f>
        <x:v>Express grant</x:v>
      </x:c>
      <x:c r="G49" s="30" t="str">
        <x:f>'MASTER_QUEUE'!M46</x:f>
        <x:v>CommCorp grantee sheet; one 2025 text rendering appears as “A ACS Services Inc.” in the browser view [14]</x:v>
      </x:c>
      <x:c r="H49" s="30" t="str">
        <x:f>IF('MASTER_QUEUE'!G46="","Recover during research","Provided")</x:f>
        <x:v>Provided</x:v>
      </x:c>
      <x:c r="I49" s="30" t="str">
        <x:f>'MASTER_QUEUE'!Y46</x:f>
        <x:v>Not Started</x:v>
      </x:c>
    </x:row>
    <x:row r="50" ht="22" customHeight="1">
      <x:c r="A50" s="96" t="n">
        <x:v>46</x:v>
      </x:c>
      <x:c r="B50" s="96" t="n">
        <x:v>47</x:v>
      </x:c>
      <x:c r="C50" s="30" t="str">
        <x:f>'MASTER_QUEUE'!A47</x:f>
        <x:v>ACT Financial Services Inc</x:v>
      </x:c>
      <x:c r="D50" s="30" t="str">
        <x:f>'MASTER_QUEUE'!D47</x:f>
        <x:v>Duxbury</x:v>
      </x:c>
      <x:c r="E50" s="30" t="str">
        <x:f>'MASTER_QUEUE'!K47</x:f>
        <x:v>Verified Express grant</x:v>
      </x:c>
      <x:c r="F50" s="30" t="str">
        <x:f>'MASTER_QUEUE'!L47</x:f>
        <x:v>Express grant</x:v>
      </x:c>
      <x:c r="G50" s="30" t="str">
        <x:f>'MASTER_QUEUE'!M47</x:f>
        <x:v>CommCorp grantee sheet [14]</x:v>
      </x:c>
      <x:c r="H50" s="30" t="str">
        <x:f>IF('MASTER_QUEUE'!G47="","Recover during research","Provided")</x:f>
        <x:v>Provided</x:v>
      </x:c>
      <x:c r="I50" s="30" t="str">
        <x:f>'MASTER_QUEUE'!Y47</x:f>
        <x:v>Not Started</x:v>
      </x:c>
    </x:row>
    <x:row r="51" ht="22" customHeight="1">
      <x:c r="A51" s="96" t="n">
        <x:v>47</x:v>
      </x:c>
      <x:c r="B51" s="96" t="n">
        <x:v>48</x:v>
      </x:c>
      <x:c r="C51" s="30" t="str">
        <x:f>'MASTER_QUEUE'!A48</x:f>
        <x:v>Activ Surgical, Inc.</x:v>
      </x:c>
      <x:c r="D51" s="30" t="str">
        <x:f>'MASTER_QUEUE'!D48</x:f>
        <x:v>Boston</x:v>
      </x:c>
      <x:c r="E51" s="30" t="str">
        <x:f>'MASTER_QUEUE'!K48</x:f>
        <x:v>Verified Express grant</x:v>
      </x:c>
      <x:c r="F51" s="30" t="str">
        <x:f>'MASTER_QUEUE'!L48</x:f>
        <x:v>Express grant</x:v>
      </x:c>
      <x:c r="G51" s="30" t="str">
        <x:f>'MASTER_QUEUE'!M48</x:f>
        <x:v>CommCorp grantee sheet [14]</x:v>
      </x:c>
      <x:c r="H51" s="30" t="str">
        <x:f>IF('MASTER_QUEUE'!G48="","Recover during research","Provided")</x:f>
        <x:v>Provided</x:v>
      </x:c>
      <x:c r="I51" s="30" t="str">
        <x:f>'MASTER_QUEUE'!Y48</x:f>
        <x:v>Not Started</x:v>
      </x:c>
    </x:row>
    <x:row r="52" ht="22" customHeight="1">
      <x:c r="A52" s="96" t="n">
        <x:v>48</x:v>
      </x:c>
      <x:c r="B52" s="96" t="n">
        <x:v>49</x:v>
      </x:c>
      <x:c r="C52" s="30" t="str">
        <x:f>'MASTER_QUEUE'!A49</x:f>
        <x:v>3XR Inc.</x:v>
      </x:c>
      <x:c r="D52" s="30" t="str">
        <x:f>'MASTER_QUEUE'!D49</x:f>
        <x:v>Wakefield</x:v>
      </x:c>
      <x:c r="E52" s="30" t="str">
        <x:f>'MASTER_QUEUE'!K49</x:f>
        <x:v>Verified Express grant</x:v>
      </x:c>
      <x:c r="F52" s="30" t="str">
        <x:f>'MASTER_QUEUE'!L49</x:f>
        <x:v>WTFP Express Program Incumbent Worker Training</x:v>
      </x:c>
      <x:c r="G52" s="30" t="str">
        <x:f>'MASTER_QUEUE'!M49</x:f>
        <x:v>Official Mass.gov OPMO attachment snippet [16]</x:v>
      </x:c>
      <x:c r="H52" s="30" t="str">
        <x:f>IF('MASTER_QUEUE'!G49="","Recover during research","Provided")</x:f>
        <x:v>Provided</x:v>
      </x:c>
      <x:c r="I52" s="30" t="str">
        <x:f>'MASTER_QUEUE'!Y49</x:f>
        <x:v>Not Started</x:v>
      </x:c>
    </x:row>
    <x:row r="53" ht="22" customHeight="1">
      <x:c r="A53" s="96" t="n">
        <x:v>49</x:v>
      </x:c>
      <x:c r="B53" s="96" t="n">
        <x:v>50</x:v>
      </x:c>
      <x:c r="C53" s="30" t="str">
        <x:f>'MASTER_QUEUE'!A50</x:f>
        <x:v>A &amp; A Window Products, Inc.</x:v>
      </x:c>
      <x:c r="D53" s="30" t="str">
        <x:f>'MASTER_QUEUE'!D50</x:f>
        <x:v>Malden</x:v>
      </x:c>
      <x:c r="E53" s="30" t="str">
        <x:f>'MASTER_QUEUE'!K50</x:f>
        <x:v>Verified Express grant</x:v>
      </x:c>
      <x:c r="F53" s="30" t="str">
        <x:f>'MASTER_QUEUE'!L50</x:f>
        <x:v>WTFP Express Program Incumbent Worker Training</x:v>
      </x:c>
      <x:c r="G53" s="30" t="str">
        <x:f>'MASTER_QUEUE'!M50</x:f>
        <x:v>Official Mass.gov OPMO attachment snippet [17]</x:v>
      </x:c>
      <x:c r="H53" s="30" t="str">
        <x:f>IF('MASTER_QUEUE'!G50="","Recover during research","Provided")</x:f>
        <x:v>Provided</x:v>
      </x:c>
      <x:c r="I53" s="30" t="str">
        <x:f>'MASTER_QUEUE'!Y50</x:f>
        <x:v>Not Started</x:v>
      </x:c>
    </x:row>
    <x:row r="54" ht="22" customHeight="1">
      <x:c r="A54" s="96" t="n">
        <x:v>50</x:v>
      </x:c>
      <x:c r="B54" s="96" t="n">
        <x:v>51</x:v>
      </x:c>
      <x:c r="C54" s="30" t="str">
        <x:f>'MASTER_QUEUE'!A51</x:f>
        <x:v>A.M.A. Transportation Co. Inc.</x:v>
      </x:c>
      <x:c r="D54" s="30" t="str">
        <x:f>'MASTER_QUEUE'!D51</x:f>
        <x:v>Billerica</x:v>
      </x:c>
      <x:c r="E54" s="30" t="str">
        <x:f>'MASTER_QUEUE'!K51</x:f>
        <x:v>Verified Express grant</x:v>
      </x:c>
      <x:c r="F54" s="30" t="str">
        <x:f>'MASTER_QUEUE'!L51</x:f>
        <x:v>WTFP Express Program Incumbent Worker Training</x:v>
      </x:c>
      <x:c r="G54" s="30" t="str">
        <x:f>'MASTER_QUEUE'!M51</x:f>
        <x:v>Official Mass.gov OPMO attachment snippet [18]</x:v>
      </x:c>
      <x:c r="H54" s="30" t="str">
        <x:f>IF('MASTER_QUEUE'!G51="","Recover during research","Provided")</x:f>
        <x:v>Provided</x:v>
      </x:c>
      <x:c r="I54" s="30" t="str">
        <x:f>'MASTER_QUEUE'!Y51</x:f>
        <x:v>Not Started</x:v>
      </x:c>
    </x:row>
    <x:row r="55" ht="22" customHeight="1">
      <x:c r="A55" s="96" t="n">
        <x:v>51</x:v>
      </x:c>
      <x:c r="B55" s="96" t="n">
        <x:v>52</x:v>
      </x:c>
      <x:c r="C55" s="30" t="str">
        <x:f>'MASTER_QUEUE'!A52</x:f>
        <x:v>A3 Architects Inc.</x:v>
      </x:c>
      <x:c r="D55" s="30" t="str">
        <x:f>'MASTER_QUEUE'!D52</x:f>
        <x:v>Dennis</x:v>
      </x:c>
      <x:c r="E55" s="30" t="str">
        <x:f>'MASTER_QUEUE'!K52</x:f>
        <x:v>Verified Express grant</x:v>
      </x:c>
      <x:c r="F55" s="30" t="str">
        <x:f>'MASTER_QUEUE'!L52</x:f>
        <x:v>WTFP Express Program Incumbent Worker Training</x:v>
      </x:c>
      <x:c r="G55" s="30" t="str">
        <x:f>'MASTER_QUEUE'!M52</x:f>
        <x:v>Official Mass.gov OPMO attachment snippet [19]</x:v>
      </x:c>
      <x:c r="H55" s="30" t="str">
        <x:f>IF('MASTER_QUEUE'!G52="","Recover during research","Provided")</x:f>
        <x:v>Provided</x:v>
      </x:c>
      <x:c r="I55" s="30" t="str">
        <x:f>'MASTER_QUEUE'!Y52</x:f>
        <x:v>Not Started</x:v>
      </x:c>
    </x:row>
    <x:row r="56" ht="22" customHeight="1">
      <x:c r="A56" s="96" t="n">
        <x:v>52</x:v>
      </x:c>
      <x:c r="B56" s="96" t="n">
        <x:v>53</x:v>
      </x:c>
      <x:c r="C56" s="30" t="str">
        <x:f>'MASTER_QUEUE'!A53</x:f>
        <x:v>Architectural Engineers, Inc.</x:v>
      </x:c>
      <x:c r="D56" s="30" t="str">
        <x:f>'MASTER_QUEUE'!D53</x:f>
        <x:v>Boston</x:v>
      </x:c>
      <x:c r="E56" s="30" t="str">
        <x:f>'MASTER_QUEUE'!K53</x:f>
        <x:v>Verified Express grant</x:v>
      </x:c>
      <x:c r="F56" s="30" t="str">
        <x:f>'MASTER_QUEUE'!L53</x:f>
        <x:v>WTFP Express Program Incumbent Worker Training</x:v>
      </x:c>
      <x:c r="G56" s="30" t="str">
        <x:f>'MASTER_QUEUE'!M53</x:f>
        <x:v>Official Mass.gov OPMO attachment snippet [20]</x:v>
      </x:c>
      <x:c r="H56" s="30" t="str">
        <x:f>IF('MASTER_QUEUE'!G53="","Recover during research","Provided")</x:f>
        <x:v>Provided</x:v>
      </x:c>
      <x:c r="I56" s="30" t="str">
        <x:f>'MASTER_QUEUE'!Y53</x:f>
        <x:v>Not Started</x:v>
      </x:c>
    </x:row>
    <x:row r="57" ht="22" customHeight="1">
      <x:c r="A57" s="96" t="n">
        <x:v>53</x:v>
      </x:c>
      <x:c r="B57" s="96" t="n">
        <x:v>54</x:v>
      </x:c>
      <x:c r="C57" s="30" t="str">
        <x:f>'MASTER_QUEUE'!A54</x:f>
        <x:v>Mass Tank Sales Corp.</x:v>
      </x:c>
      <x:c r="D57" s="30" t="str">
        <x:f>'MASTER_QUEUE'!D54</x:f>
        <x:v>Middleboro</x:v>
      </x:c>
      <x:c r="E57" s="30" t="str">
        <x:f>'MASTER_QUEUE'!K54</x:f>
        <x:v>Verified Express grant</x:v>
      </x:c>
      <x:c r="F57" s="30" t="str">
        <x:f>'MASTER_QUEUE'!L54</x:f>
        <x:v>WTFP Express Program Incumbent Worker Training</x:v>
      </x:c>
      <x:c r="G57" s="30" t="str">
        <x:f>'MASTER_QUEUE'!M54</x:f>
        <x:v>Official Mass.gov OPMO attachment snippet [21]</x:v>
      </x:c>
      <x:c r="H57" s="30" t="str">
        <x:f>IF('MASTER_QUEUE'!G54="","Recover during research","Provided")</x:f>
        <x:v>Provided</x:v>
      </x:c>
      <x:c r="I57" s="30" t="str">
        <x:f>'MASTER_QUEUE'!Y54</x:f>
        <x:v>Not Started</x:v>
      </x:c>
    </x:row>
    <x:row r="58" ht="22" customHeight="1">
      <x:c r="A58" s="96" t="n">
        <x:v>54</x:v>
      </x:c>
      <x:c r="B58" s="96" t="n">
        <x:v>55</x:v>
      </x:c>
      <x:c r="C58" s="30" t="str">
        <x:f>'MASTER_QUEUE'!A55</x:f>
        <x:v>MedAcuity LLC</x:v>
      </x:c>
      <x:c r="D58" s="30" t="str">
        <x:f>'MASTER_QUEUE'!D55</x:f>
        <x:v>Westford</x:v>
      </x:c>
      <x:c r="E58" s="30" t="str">
        <x:f>'MASTER_QUEUE'!K55</x:f>
        <x:v>Verified Express grant</x:v>
      </x:c>
      <x:c r="F58" s="30" t="str">
        <x:f>'MASTER_QUEUE'!L55</x:f>
        <x:v>WTFP Express Program Incumbent Worker Training</x:v>
      </x:c>
      <x:c r="G58" s="30" t="str">
        <x:f>'MASTER_QUEUE'!M55</x:f>
        <x:v>Official Mass.gov OPMO attachment snippet [22]</x:v>
      </x:c>
      <x:c r="H58" s="30" t="str">
        <x:f>IF('MASTER_QUEUE'!G55="","Recover during research","Provided")</x:f>
        <x:v>Provided</x:v>
      </x:c>
      <x:c r="I58" s="30" t="str">
        <x:f>'MASTER_QUEUE'!Y55</x:f>
        <x:v>Not Started</x:v>
      </x:c>
    </x:row>
    <x:row r="59" ht="22" customHeight="1">
      <x:c r="A59" s="96" t="n">
        <x:v>55</x:v>
      </x:c>
      <x:c r="B59" s="96" t="n">
        <x:v>56</x:v>
      </x:c>
      <x:c r="C59" s="30" t="str">
        <x:f>'MASTER_QUEUE'!A56</x:f>
        <x:v>AGRI MARK Inc.</x:v>
      </x:c>
      <x:c r="D59" s="30" t="str">
        <x:f>'MASTER_QUEUE'!D56</x:f>
        <x:v>West Springfield</x:v>
      </x:c>
      <x:c r="E59" s="30" t="str">
        <x:f>'MASTER_QUEUE'!K56</x:f>
        <x:v>Verified Express grant</x:v>
      </x:c>
      <x:c r="F59" s="30" t="str">
        <x:f>'MASTER_QUEUE'!L56</x:f>
        <x:v>WTFP Express Program Incumbent Worker Training</x:v>
      </x:c>
      <x:c r="G59" s="30" t="str">
        <x:f>'MASTER_QUEUE'!M56</x:f>
        <x:v>Official Mass.gov OPMO attachment snippet [23]</x:v>
      </x:c>
      <x:c r="H59" s="30" t="str">
        <x:f>IF('MASTER_QUEUE'!G56="","Recover during research","Provided")</x:f>
        <x:v>Provided</x:v>
      </x:c>
      <x:c r="I59" s="30" t="str">
        <x:f>'MASTER_QUEUE'!Y56</x:f>
        <x:v>Not Started</x:v>
      </x:c>
    </x:row>
    <x:row r="60" ht="22" customHeight="1">
      <x:c r="A60" s="96" t="n">
        <x:v>56</x:v>
      </x:c>
      <x:c r="B60" s="96" t="n">
        <x:v>57</x:v>
      </x:c>
      <x:c r="C60" s="30" t="str">
        <x:f>'MASTER_QUEUE'!A57</x:f>
        <x:v>AHA Consulting Engineers, Inc.</x:v>
      </x:c>
      <x:c r="D60" s="30" t="str">
        <x:f>'MASTER_QUEUE'!D57</x:f>
        <x:v>Lexington</x:v>
      </x:c>
      <x:c r="E60" s="30" t="str">
        <x:f>'MASTER_QUEUE'!K57</x:f>
        <x:v>Verified Express grant</x:v>
      </x:c>
      <x:c r="F60" s="30" t="str">
        <x:f>'MASTER_QUEUE'!L57</x:f>
        <x:v>WTFP Express Program Incumbent Worker Training</x:v>
      </x:c>
      <x:c r="G60" s="30" t="str">
        <x:f>'MASTER_QUEUE'!M57</x:f>
        <x:v>Official Mass.gov OPMO attachment snippet [24]</x:v>
      </x:c>
      <x:c r="H60" s="30" t="str">
        <x:f>IF('MASTER_QUEUE'!G57="","Recover during research","Provided")</x:f>
        <x:v>Provided</x:v>
      </x:c>
      <x:c r="I60" s="30" t="str">
        <x:f>'MASTER_QUEUE'!Y57</x:f>
        <x:v>Not Started</x:v>
      </x:c>
    </x:row>
    <x:row r="61" ht="22" customHeight="1">
      <x:c r="A61" s="96" t="n">
        <x:v>57</x:v>
      </x:c>
      <x:c r="B61" s="96" t="n">
        <x:v>58</x:v>
      </x:c>
      <x:c r="C61" s="30" t="str">
        <x:f>'MASTER_QUEUE'!A58</x:f>
        <x:v>AI Engineers, Inc.</x:v>
      </x:c>
      <x:c r="D61" s="30" t="str">
        <x:f>'MASTER_QUEUE'!D58</x:f>
        <x:v>Boston</x:v>
      </x:c>
      <x:c r="E61" s="30" t="str">
        <x:f>'MASTER_QUEUE'!K58</x:f>
        <x:v>Verified Express grant</x:v>
      </x:c>
      <x:c r="F61" s="30" t="str">
        <x:f>'MASTER_QUEUE'!L58</x:f>
        <x:v>WTFP Express Program Incumbent Worker Training</x:v>
      </x:c>
      <x:c r="G61" s="30" t="str">
        <x:f>'MASTER_QUEUE'!M58</x:f>
        <x:v>Official Mass.gov OPMO attachment snippet [25]</x:v>
      </x:c>
      <x:c r="H61" s="30" t="str">
        <x:f>IF('MASTER_QUEUE'!G58="","Recover during research","Provided")</x:f>
        <x:v>Provided</x:v>
      </x:c>
      <x:c r="I61" s="30" t="str">
        <x:f>'MASTER_QUEUE'!Y58</x:f>
        <x:v>Not Started</x:v>
      </x:c>
    </x:row>
    <x:row r="62" ht="22" customHeight="1">
      <x:c r="A62" s="96" t="n">
        <x:v>58</x:v>
      </x:c>
      <x:c r="B62" s="96" t="n">
        <x:v>59</x:v>
      </x:c>
      <x:c r="C62" s="30" t="str">
        <x:f>'MASTER_QUEUE'!A59</x:f>
        <x:v>Antenna Associates Inc.</x:v>
      </x:c>
      <x:c r="D62" s="30" t="str">
        <x:f>'MASTER_QUEUE'!D59</x:f>
        <x:v>Brockton</x:v>
      </x:c>
      <x:c r="E62" s="30" t="str">
        <x:f>'MASTER_QUEUE'!K59</x:f>
        <x:v>Verified Express grant</x:v>
      </x:c>
      <x:c r="F62" s="30" t="str">
        <x:f>'MASTER_QUEUE'!L59</x:f>
        <x:v>WTFP Express Program Incumbent Worker Training</x:v>
      </x:c>
      <x:c r="G62" s="30" t="str">
        <x:f>'MASTER_QUEUE'!M59</x:f>
        <x:v>Official Mass.gov OPMO attachment snippet [26]</x:v>
      </x:c>
      <x:c r="H62" s="30" t="str">
        <x:f>IF('MASTER_QUEUE'!G59="","Recover during research","Provided")</x:f>
        <x:v>Provided</x:v>
      </x:c>
      <x:c r="I62" s="30" t="str">
        <x:f>'MASTER_QUEUE'!Y59</x:f>
        <x:v>Not Started</x:v>
      </x:c>
    </x:row>
    <x:row r="63" ht="22" customHeight="1">
      <x:c r="A63" s="97" t="n">
        <x:v>59</x:v>
      </x:c>
      <x:c r="B63" s="97" t="n">
        <x:v>60</x:v>
      </x:c>
      <x:c r="C63" s="31" t="str">
        <x:f>'MASTER_QUEUE'!A60</x:f>
        <x:v>Boston Baking Inc.</x:v>
      </x:c>
      <x:c r="D63" s="31" t="str">
        <x:f>'MASTER_QUEUE'!D60</x:f>
        <x:v>Boston</x:v>
      </x:c>
      <x:c r="E63" s="31" t="str">
        <x:f>'MASTER_QUEUE'!K60</x:f>
        <x:v>Verified Express grant</x:v>
      </x:c>
      <x:c r="F63" s="31" t="str">
        <x:f>'MASTER_QUEUE'!L60</x:f>
        <x:v>WTFP Express Program Incumbent Worker Training</x:v>
      </x:c>
      <x:c r="G63" s="31" t="str">
        <x:f>'MASTER_QUEUE'!M60</x:f>
        <x:v>Official Mass.gov OPMO attachment snippet [27]</x:v>
      </x:c>
      <x:c r="H63" s="31" t="str">
        <x:f>IF('MASTER_QUEUE'!G60="","Recover during research","Provided")</x:f>
        <x:v>Provided</x:v>
      </x:c>
      <x:c r="I63" s="31" t="str">
        <x:f>'MASTER_QUEUE'!Y60</x:f>
        <x:v>Not Started</x:v>
      </x:c>
    </x:row>
  </x:sheetData>
  <x:mergeCells>
    <x:mergeCell ref="A1:I1"/>
    <x:mergeCell ref="A2:I2"/>
  </x:mergeCells>
  <x:conditionalFormatting sqref="H5:H63">
    <x:cfRule type="containsText" dxfId="5" priority="1" operator="containsText" text="Recover"/>
  </x:conditionalFormatting>
  <x:conditionalFormatting sqref="I5:I63">
    <x:cfRule type="containsText" dxfId="6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c12df46c14a741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36" hidden="0" customWidth="1"/>
    <x:col min="4" max="4" width="17" hidden="0" customWidth="1"/>
    <x:col min="5" max="5" width="24" hidden="0" customWidth="1"/>
    <x:col min="6" max="6" width="27" hidden="0" customWidth="1"/>
    <x:col min="7" max="7" width="21" hidden="0" customWidth="1"/>
    <x:col min="8" max="8" width="23" hidden="0" customWidth="1"/>
    <x:col min="9" max="9" width="18" hidden="0" customWidth="1"/>
  </x:cols>
  <x:sheetData>
    <x:row r="1">
      <x:c r="A1" s="3" t="str">
        <x:v>Prospeo exact queue (70)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7" t="str">
        <x:v>View-only assignment. Enter every research result in MASTER_QUEUE. Budget against 100 monthly credits; reveal one email only when useful.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queueNumber</x:v>
      </x:c>
      <x:c r="B4" s="20" t="str">
        <x:v>masterRow</x:v>
      </x:c>
      <x:c r="C4" s="20" t="str">
        <x:v>company</x:v>
      </x:c>
      <x:c r="D4" s="20" t="str">
        <x:v>city</x:v>
      </x:c>
      <x:c r="E4" s="20" t="str">
        <x:v>sourceCategory</x:v>
      </x:c>
      <x:c r="F4" s="20" t="str">
        <x:v>sourceDetail</x:v>
      </x:c>
      <x:c r="G4" s="20" t="str">
        <x:v>sourceCitation</x:v>
      </x:c>
      <x:c r="H4" s="20" t="str">
        <x:v>sourceUrlStatus</x:v>
      </x:c>
      <x:c r="I4" s="21" t="str">
        <x:v>reviewStatus</x:v>
      </x:c>
    </x:row>
    <x:row r="5" ht="22" customHeight="1">
      <x:c r="A5" s="95" t="n">
        <x:v>1</x:v>
      </x:c>
      <x:c r="B5" s="95" t="n">
        <x:v>61</x:v>
      </x:c>
      <x:c r="C5" s="29" t="str">
        <x:f>'MASTER_QUEUE'!A61</x:f>
        <x:v>3Play Media</x:v>
      </x:c>
      <x:c r="D5" s="29" t="str">
        <x:f>'MASTER_QUEUE'!D61</x:f>
        <x:v>Boston</x:v>
      </x:c>
      <x:c r="E5" s="29" t="str">
        <x:f>'MASTER_QUEUE'!K61</x:f>
        <x:v>Employer / Grantee</x:v>
      </x:c>
      <x:c r="F5" s="29" t="str">
        <x:f>'MASTER_QUEUE'!L61</x:f>
        <x:v>MassHire Boston</x:v>
      </x:c>
      <x:c r="G5" s="29" t="str">
        <x:f>'MASTER_QUEUE'!M61</x:f>
        <x:v>[cite: 27]</x:v>
      </x:c>
      <x:c r="H5" s="29" t="str">
        <x:f>IF('MASTER_QUEUE'!G61="","Recover during research","Provided")</x:f>
        <x:v>Recover during research</x:v>
      </x:c>
      <x:c r="I5" s="29" t="str">
        <x:f>'MASTER_QUEUE'!Y61</x:f>
        <x:v>Not Started</x:v>
      </x:c>
    </x:row>
    <x:row r="6" ht="22" customHeight="1">
      <x:c r="A6" s="96" t="n">
        <x:v>2</x:v>
      </x:c>
      <x:c r="B6" s="96" t="n">
        <x:v>62</x:v>
      </x:c>
      <x:c r="C6" s="30" t="str">
        <x:f>'MASTER_QUEUE'!A62</x:f>
        <x:v>88 Acres Foods</x:v>
      </x:c>
      <x:c r="D6" s="30" t="str">
        <x:f>'MASTER_QUEUE'!D62</x:f>
        <x:v>Canton</x:v>
      </x:c>
      <x:c r="E6" s="30" t="str">
        <x:f>'MASTER_QUEUE'!K62</x:f>
        <x:v>Employer / Grantee</x:v>
      </x:c>
      <x:c r="F6" s="30" t="str">
        <x:f>'MASTER_QUEUE'!L62</x:f>
        <x:v>MassHire South Shore</x:v>
      </x:c>
      <x:c r="G6" s="30" t="str">
        <x:f>'MASTER_QUEUE'!M62</x:f>
        <x:v>[cite: 27]</x:v>
      </x:c>
      <x:c r="H6" s="30" t="str">
        <x:f>IF('MASTER_QUEUE'!G62="","Recover during research","Provided")</x:f>
        <x:v>Recover during research</x:v>
      </x:c>
      <x:c r="I6" s="30" t="str">
        <x:f>'MASTER_QUEUE'!Y62</x:f>
        <x:v>Not Started</x:v>
      </x:c>
    </x:row>
    <x:row r="7" ht="22" customHeight="1">
      <x:c r="A7" s="96" t="n">
        <x:v>3</x:v>
      </x:c>
      <x:c r="B7" s="96" t="n">
        <x:v>63</x:v>
      </x:c>
      <x:c r="C7" s="30" t="str">
        <x:f>'MASTER_QUEUE'!A63</x:f>
        <x:v>ABCorp</x:v>
      </x:c>
      <x:c r="D7" s="30" t="str">
        <x:f>'MASTER_QUEUE'!D63</x:f>
        <x:v>Boston</x:v>
      </x:c>
      <x:c r="E7" s="30" t="str">
        <x:f>'MASTER_QUEUE'!K63</x:f>
        <x:v>Employer / Grantee</x:v>
      </x:c>
      <x:c r="F7" s="30" t="str">
        <x:f>'MASTER_QUEUE'!L63</x:f>
        <x:v>MassHire Boston</x:v>
      </x:c>
      <x:c r="G7" s="30" t="str">
        <x:f>'MASTER_QUEUE'!M63</x:f>
        <x:v>[cite: 28, 29, 33]</x:v>
      </x:c>
      <x:c r="H7" s="30" t="str">
        <x:f>IF('MASTER_QUEUE'!G63="","Recover during research","Provided")</x:f>
        <x:v>Recover during research</x:v>
      </x:c>
      <x:c r="I7" s="30" t="str">
        <x:f>'MASTER_QUEUE'!Y63</x:f>
        <x:v>Not Started</x:v>
      </x:c>
    </x:row>
    <x:row r="8" ht="22" customHeight="1">
      <x:c r="A8" s="96" t="n">
        <x:v>4</x:v>
      </x:c>
      <x:c r="B8" s="96" t="n">
        <x:v>64</x:v>
      </x:c>
      <x:c r="C8" s="30" t="str">
        <x:f>'MASTER_QUEUE'!A64</x:f>
        <x:v>Aceituna Grill</x:v>
      </x:c>
      <x:c r="D8" s="30" t="str">
        <x:f>'MASTER_QUEUE'!D64</x:f>
        <x:v>Boston</x:v>
      </x:c>
      <x:c r="E8" s="30" t="str">
        <x:f>'MASTER_QUEUE'!K64</x:f>
        <x:v>Employer / Grantee</x:v>
      </x:c>
      <x:c r="F8" s="30" t="str">
        <x:f>'MASTER_QUEUE'!L64</x:f>
        <x:v>MassHire Boston</x:v>
      </x:c>
      <x:c r="G8" s="30" t="str">
        <x:f>'MASTER_QUEUE'!M64</x:f>
        <x:v>[cite: 56]</x:v>
      </x:c>
      <x:c r="H8" s="30" t="str">
        <x:f>IF('MASTER_QUEUE'!G64="","Recover during research","Provided")</x:f>
        <x:v>Recover during research</x:v>
      </x:c>
      <x:c r="I8" s="30" t="str">
        <x:f>'MASTER_QUEUE'!Y64</x:f>
        <x:v>Not Started</x:v>
      </x:c>
    </x:row>
    <x:row r="9" ht="22" customHeight="1">
      <x:c r="A9" s="96" t="n">
        <x:v>5</x:v>
      </x:c>
      <x:c r="B9" s="96" t="n">
        <x:v>65</x:v>
      </x:c>
      <x:c r="C9" s="30" t="str">
        <x:f>'MASTER_QUEUE'!A65</x:f>
        <x:v>Adaptas Solution</x:v>
      </x:c>
      <x:c r="D9" s="30" t="str">
        <x:f>'MASTER_QUEUE'!D65</x:f>
        <x:v>Palmer</x:v>
      </x:c>
      <x:c r="E9" s="30" t="str">
        <x:f>'MASTER_QUEUE'!K65</x:f>
        <x:v>Employer / Grantee</x:v>
      </x:c>
      <x:c r="F9" s="30" t="str">
        <x:f>'MASTER_QUEUE'!L65</x:f>
        <x:v>MassHire Hampden</x:v>
      </x:c>
      <x:c r="G9" s="30" t="str">
        <x:f>'MASTER_QUEUE'!M65</x:f>
        <x:v>[cite: 27]</x:v>
      </x:c>
      <x:c r="H9" s="30" t="str">
        <x:f>IF('MASTER_QUEUE'!G65="","Recover during research","Provided")</x:f>
        <x:v>Recover during research</x:v>
      </x:c>
      <x:c r="I9" s="30" t="str">
        <x:f>'MASTER_QUEUE'!Y65</x:f>
        <x:v>Not Started</x:v>
      </x:c>
    </x:row>
    <x:row r="10" ht="22" customHeight="1">
      <x:c r="A10" s="96" t="n">
        <x:v>6</x:v>
      </x:c>
      <x:c r="B10" s="96" t="n">
        <x:v>66</x:v>
      </x:c>
      <x:c r="C10" s="30" t="str">
        <x:f>'MASTER_QUEUE'!A66</x:f>
        <x:v>Admiral Metals</x:v>
      </x:c>
      <x:c r="D10" s="30" t="str">
        <x:f>'MASTER_QUEUE'!D66</x:f>
        <x:v>Woburn</x:v>
      </x:c>
      <x:c r="E10" s="30" t="str">
        <x:f>'MASTER_QUEUE'!K66</x:f>
        <x:v>Employer / Grantee</x:v>
      </x:c>
      <x:c r="F10" s="30" t="str">
        <x:f>'MASTER_QUEUE'!L66</x:f>
        <x:v>MassHire Metro North</x:v>
      </x:c>
      <x:c r="G10" s="30" t="str">
        <x:f>'MASTER_QUEUE'!M66</x:f>
        <x:v>[cite: 28, 29]</x:v>
      </x:c>
      <x:c r="H10" s="30" t="str">
        <x:f>IF('MASTER_QUEUE'!G66="","Recover during research","Provided")</x:f>
        <x:v>Recover during research</x:v>
      </x:c>
      <x:c r="I10" s="30" t="str">
        <x:f>'MASTER_QUEUE'!Y66</x:f>
        <x:v>Not Started</x:v>
      </x:c>
    </x:row>
    <x:row r="11" ht="22" customHeight="1">
      <x:c r="A11" s="96" t="n">
        <x:v>7</x:v>
      </x:c>
      <x:c r="B11" s="96" t="n">
        <x:v>67</x:v>
      </x:c>
      <x:c r="C11" s="30" t="str">
        <x:f>'MASTER_QUEUE'!A67</x:f>
        <x:v>Allegro MicroSystems</x:v>
      </x:c>
      <x:c r="D11" s="30" t="str">
        <x:f>'MASTER_QUEUE'!D67</x:f>
        <x:v>Natick</x:v>
      </x:c>
      <x:c r="E11" s="30" t="str">
        <x:f>'MASTER_QUEUE'!K67</x:f>
        <x:v>Employer / Grantee</x:v>
      </x:c>
      <x:c r="F11" s="30" t="str">
        <x:f>'MASTER_QUEUE'!L67</x:f>
        <x:v>MassHire Metro South/West</x:v>
      </x:c>
      <x:c r="G11" s="30" t="str">
        <x:f>'MASTER_QUEUE'!M67</x:f>
        <x:v>[cite: 29]</x:v>
      </x:c>
      <x:c r="H11" s="30" t="str">
        <x:f>IF('MASTER_QUEUE'!G67="","Recover during research","Provided")</x:f>
        <x:v>Recover during research</x:v>
      </x:c>
      <x:c r="I11" s="30" t="str">
        <x:f>'MASTER_QUEUE'!Y67</x:f>
        <x:v>Not Started</x:v>
      </x:c>
    </x:row>
    <x:row r="12" ht="22" customHeight="1">
      <x:c r="A12" s="96" t="n">
        <x:v>8</x:v>
      </x:c>
      <x:c r="B12" s="96" t="n">
        <x:v>68</x:v>
      </x:c>
      <x:c r="C12" s="30" t="str">
        <x:f>'MASTER_QUEUE'!A68</x:f>
        <x:v>Alpha Chemical Services</x:v>
      </x:c>
      <x:c r="D12" s="30" t="str">
        <x:f>'MASTER_QUEUE'!D68</x:f>
        <x:v>Stoughton</x:v>
      </x:c>
      <x:c r="E12" s="30" t="str">
        <x:f>'MASTER_QUEUE'!K68</x:f>
        <x:v>Employer / Grantee</x:v>
      </x:c>
      <x:c r="F12" s="30" t="str">
        <x:f>'MASTER_QUEUE'!L68</x:f>
        <x:v>MassHire Brockton</x:v>
      </x:c>
      <x:c r="G12" s="30" t="str">
        <x:f>'MASTER_QUEUE'!M68</x:f>
        <x:v>[cite: 2, 5]</x:v>
      </x:c>
      <x:c r="H12" s="30" t="str">
        <x:f>IF('MASTER_QUEUE'!G68="","Recover during research","Provided")</x:f>
        <x:v>Recover during research</x:v>
      </x:c>
      <x:c r="I12" s="30" t="str">
        <x:f>'MASTER_QUEUE'!Y68</x:f>
        <x:v>Not Started</x:v>
      </x:c>
    </x:row>
    <x:row r="13" ht="22" customHeight="1">
      <x:c r="A13" s="96" t="n">
        <x:v>9</x:v>
      </x:c>
      <x:c r="B13" s="96" t="n">
        <x:v>69</x:v>
      </x:c>
      <x:c r="C13" s="30" t="str">
        <x:f>'MASTER_QUEUE'!A69</x:f>
        <x:v>Analytix Business Solutions</x:v>
      </x:c>
      <x:c r="D13" s="30" t="str">
        <x:f>'MASTER_QUEUE'!D69</x:f>
        <x:v>Woburn</x:v>
      </x:c>
      <x:c r="E13" s="30" t="str">
        <x:f>'MASTER_QUEUE'!K69</x:f>
        <x:v>Employer / Grantee</x:v>
      </x:c>
      <x:c r="F13" s="30" t="str">
        <x:f>'MASTER_QUEUE'!L69</x:f>
        <x:v>MassHire Metro North</x:v>
      </x:c>
      <x:c r="G13" s="30" t="str">
        <x:f>'MASTER_QUEUE'!M69</x:f>
        <x:v>[cite: 29]</x:v>
      </x:c>
      <x:c r="H13" s="30" t="str">
        <x:f>IF('MASTER_QUEUE'!G69="","Recover during research","Provided")</x:f>
        <x:v>Recover during research</x:v>
      </x:c>
      <x:c r="I13" s="30" t="str">
        <x:f>'MASTER_QUEUE'!Y69</x:f>
        <x:v>Not Started</x:v>
      </x:c>
    </x:row>
    <x:row r="14" ht="22" customHeight="1">
      <x:c r="A14" s="96" t="n">
        <x:v>10</x:v>
      </x:c>
      <x:c r="B14" s="96" t="n">
        <x:v>70</x:v>
      </x:c>
      <x:c r="C14" s="30" t="str">
        <x:f>'MASTER_QUEUE'!A70</x:f>
        <x:v>ARC Technologies</x:v>
      </x:c>
      <x:c r="D14" s="30" t="str">
        <x:f>'MASTER_QUEUE'!D70</x:f>
        <x:v>Amesbury</x:v>
      </x:c>
      <x:c r="E14" s="30" t="str">
        <x:f>'MASTER_QUEUE'!K70</x:f>
        <x:v>Employer / Grantee</x:v>
      </x:c>
      <x:c r="F14" s="30" t="str">
        <x:f>'MASTER_QUEUE'!L70</x:f>
        <x:v>MassHire Merrimack Valley</x:v>
      </x:c>
      <x:c r="G14" s="30" t="str">
        <x:f>'MASTER_QUEUE'!M70</x:f>
        <x:v>[cite: 5]</x:v>
      </x:c>
      <x:c r="H14" s="30" t="str">
        <x:f>IF('MASTER_QUEUE'!G70="","Recover during research","Provided")</x:f>
        <x:v>Recover during research</x:v>
      </x:c>
      <x:c r="I14" s="30" t="str">
        <x:f>'MASTER_QUEUE'!Y70</x:f>
        <x:v>Not Started</x:v>
      </x:c>
    </x:row>
    <x:row r="15" ht="22" customHeight="1">
      <x:c r="A15" s="96" t="n">
        <x:v>11</x:v>
      </x:c>
      <x:c r="B15" s="96" t="n">
        <x:v>71</x:v>
      </x:c>
      <x:c r="C15" s="30" t="str">
        <x:f>'MASTER_QUEUE'!A71</x:f>
        <x:v>ARCH Medical &amp; Aerospace- Woburn</x:v>
      </x:c>
      <x:c r="D15" s="30" t="str">
        <x:f>'MASTER_QUEUE'!D71</x:f>
        <x:v>Woburn</x:v>
      </x:c>
      <x:c r="E15" s="30" t="str">
        <x:f>'MASTER_QUEUE'!K71</x:f>
        <x:v>Employer / Grantee</x:v>
      </x:c>
      <x:c r="F15" s="30" t="str">
        <x:f>'MASTER_QUEUE'!L71</x:f>
        <x:v>MassHire Metro North</x:v>
      </x:c>
      <x:c r="G15" s="30" t="str">
        <x:f>'MASTER_QUEUE'!M71</x:f>
        <x:v>[cite: 5]</x:v>
      </x:c>
      <x:c r="H15" s="30" t="str">
        <x:f>IF('MASTER_QUEUE'!G71="","Recover during research","Provided")</x:f>
        <x:v>Recover during research</x:v>
      </x:c>
      <x:c r="I15" s="30" t="str">
        <x:f>'MASTER_QUEUE'!Y71</x:f>
        <x:v>Not Started</x:v>
      </x:c>
    </x:row>
    <x:row r="16" ht="22" customHeight="1">
      <x:c r="A16" s="96" t="n">
        <x:v>12</x:v>
      </x:c>
      <x:c r="B16" s="96" t="n">
        <x:v>72</x:v>
      </x:c>
      <x:c r="C16" s="30" t="str">
        <x:f>'MASTER_QUEUE'!A72</x:f>
        <x:v>Asahi/America</x:v>
      </x:c>
      <x:c r="D16" s="30" t="str">
        <x:f>'MASTER_QUEUE'!D72</x:f>
        <x:v>Lawrence</x:v>
      </x:c>
      <x:c r="E16" s="30" t="str">
        <x:f>'MASTER_QUEUE'!K72</x:f>
        <x:v>Employer / Grantee</x:v>
      </x:c>
      <x:c r="F16" s="30" t="str">
        <x:f>'MASTER_QUEUE'!L72</x:f>
        <x:v>MassHire Merrimack Valley</x:v>
      </x:c>
      <x:c r="G16" s="30" t="str">
        <x:f>'MASTER_QUEUE'!M72</x:f>
        <x:v>[cite: 28, 29, 33]</x:v>
      </x:c>
      <x:c r="H16" s="30" t="str">
        <x:f>IF('MASTER_QUEUE'!G72="","Recover during research","Provided")</x:f>
        <x:v>Recover during research</x:v>
      </x:c>
      <x:c r="I16" s="30" t="str">
        <x:f>'MASTER_QUEUE'!Y72</x:f>
        <x:v>Not Started</x:v>
      </x:c>
    </x:row>
    <x:row r="17" ht="22" customHeight="1">
      <x:c r="A17" s="96" t="n">
        <x:v>13</x:v>
      </x:c>
      <x:c r="B17" s="96" t="n">
        <x:v>73</x:v>
      </x:c>
      <x:c r="C17" s="30" t="str">
        <x:f>'MASTER_QUEUE'!A73</x:f>
        <x:v>ASMPT</x:v>
      </x:c>
      <x:c r="D17" s="30" t="str">
        <x:f>'MASTER_QUEUE'!D73</x:f>
        <x:v>Billerica</x:v>
      </x:c>
      <x:c r="E17" s="30" t="str">
        <x:f>'MASTER_QUEUE'!K73</x:f>
        <x:v>Employer / Grantee</x:v>
      </x:c>
      <x:c r="F17" s="30" t="str">
        <x:f>'MASTER_QUEUE'!L73</x:f>
        <x:v>MassHire Greater Lowell</x:v>
      </x:c>
      <x:c r="G17" s="30" t="str">
        <x:f>'MASTER_QUEUE'!M73</x:f>
        <x:v>[cite: 27]</x:v>
      </x:c>
      <x:c r="H17" s="30" t="str">
        <x:f>IF('MASTER_QUEUE'!G73="","Recover during research","Provided")</x:f>
        <x:v>Recover during research</x:v>
      </x:c>
      <x:c r="I17" s="30" t="str">
        <x:f>'MASTER_QUEUE'!Y73</x:f>
        <x:v>Not Started</x:v>
      </x:c>
    </x:row>
    <x:row r="18" ht="22" customHeight="1">
      <x:c r="A18" s="96" t="n">
        <x:v>14</x:v>
      </x:c>
      <x:c r="B18" s="96" t="n">
        <x:v>74</x:v>
      </x:c>
      <x:c r="C18" s="30" t="str">
        <x:f>'MASTER_QUEUE'!A74</x:f>
        <x:v>Associates of Cape Cod Inc.</x:v>
      </x:c>
      <x:c r="D18" s="30" t="str">
        <x:f>'MASTER_QUEUE'!D74</x:f>
        <x:v>East Falmouth</x:v>
      </x:c>
      <x:c r="E18" s="30" t="str">
        <x:f>'MASTER_QUEUE'!K74</x:f>
        <x:v>Employer / Grantee</x:v>
      </x:c>
      <x:c r="F18" s="30" t="str">
        <x:f>'MASTER_QUEUE'!L74</x:f>
        <x:v>MassHire Cape &amp; Islands</x:v>
      </x:c>
      <x:c r="G18" s="30" t="str">
        <x:f>'MASTER_QUEUE'!M74</x:f>
        <x:v>[cite: 56]</x:v>
      </x:c>
      <x:c r="H18" s="30" t="str">
        <x:f>IF('MASTER_QUEUE'!G74="","Recover during research","Provided")</x:f>
        <x:v>Recover during research</x:v>
      </x:c>
      <x:c r="I18" s="30" t="str">
        <x:f>'MASTER_QUEUE'!Y74</x:f>
        <x:v>Not Started</x:v>
      </x:c>
    </x:row>
    <x:row r="19" ht="22" customHeight="1">
      <x:c r="A19" s="96" t="n">
        <x:v>15</x:v>
      </x:c>
      <x:c r="B19" s="96" t="n">
        <x:v>75</x:v>
      </x:c>
      <x:c r="C19" s="30" t="str">
        <x:f>'MASTER_QUEUE'!A75</x:f>
        <x:v>Atrenne Computing Solutions</x:v>
      </x:c>
      <x:c r="D19" s="30" t="str">
        <x:f>'MASTER_QUEUE'!D75</x:f>
        <x:v>Brockton</x:v>
      </x:c>
      <x:c r="E19" s="30" t="str">
        <x:f>'MASTER_QUEUE'!K75</x:f>
        <x:v>Employer / Grantee</x:v>
      </x:c>
      <x:c r="F19" s="30" t="str">
        <x:f>'MASTER_QUEUE'!L75</x:f>
        <x:v>MassHire Brockton</x:v>
      </x:c>
      <x:c r="G19" s="30" t="str">
        <x:f>'MASTER_QUEUE'!M75</x:f>
        <x:v>[cite: 56]</x:v>
      </x:c>
      <x:c r="H19" s="30" t="str">
        <x:f>IF('MASTER_QUEUE'!G75="","Recover during research","Provided")</x:f>
        <x:v>Recover during research</x:v>
      </x:c>
      <x:c r="I19" s="30" t="str">
        <x:f>'MASTER_QUEUE'!Y75</x:f>
        <x:v>Not Started</x:v>
      </x:c>
    </x:row>
    <x:row r="20" ht="22" customHeight="1">
      <x:c r="A20" s="96" t="n">
        <x:v>16</x:v>
      </x:c>
      <x:c r="B20" s="96" t="n">
        <x:v>76</x:v>
      </x:c>
      <x:c r="C20" s="30" t="str">
        <x:f>'MASTER_QUEUE'!A76</x:f>
        <x:v>Avid Engineers</x:v>
      </x:c>
      <x:c r="D20" s="30" t="str">
        <x:f>'MASTER_QUEUE'!D76</x:f>
        <x:v>Boston</x:v>
      </x:c>
      <x:c r="E20" s="30" t="str">
        <x:f>'MASTER_QUEUE'!K76</x:f>
        <x:v>Employer / Grantee</x:v>
      </x:c>
      <x:c r="F20" s="30" t="str">
        <x:f>'MASTER_QUEUE'!L76</x:f>
        <x:v>MassHire Boston</x:v>
      </x:c>
      <x:c r="G20" s="30" t="str">
        <x:f>'MASTER_QUEUE'!M76</x:f>
        <x:v>[cite: 27]</x:v>
      </x:c>
      <x:c r="H20" s="30" t="str">
        <x:f>IF('MASTER_QUEUE'!G76="","Recover during research","Provided")</x:f>
        <x:v>Recover during research</x:v>
      </x:c>
      <x:c r="I20" s="30" t="str">
        <x:f>'MASTER_QUEUE'!Y76</x:f>
        <x:v>Not Started</x:v>
      </x:c>
    </x:row>
    <x:row r="21" ht="22" customHeight="1">
      <x:c r="A21" s="96" t="n">
        <x:v>17</x:v>
      </x:c>
      <x:c r="B21" s="96" t="n">
        <x:v>77</x:v>
      </x:c>
      <x:c r="C21" s="30" t="str">
        <x:f>'MASTER_QUEUE'!A77</x:f>
        <x:v>B &amp; E Tool Company Inc</x:v>
      </x:c>
      <x:c r="D21" s="30" t="str">
        <x:f>'MASTER_QUEUE'!D77</x:f>
        <x:v>Westfield</x:v>
      </x:c>
      <x:c r="E21" s="30" t="str">
        <x:f>'MASTER_QUEUE'!K77</x:f>
        <x:v>Employer / Grantee</x:v>
      </x:c>
      <x:c r="F21" s="30" t="str">
        <x:f>'MASTER_QUEUE'!L77</x:f>
        <x:v>MassHire Hampden</x:v>
      </x:c>
      <x:c r="G21" s="30" t="str">
        <x:f>'MASTER_QUEUE'!M77</x:f>
        <x:v>[cite: 5]</x:v>
      </x:c>
      <x:c r="H21" s="30" t="str">
        <x:f>IF('MASTER_QUEUE'!G77="","Recover during research","Provided")</x:f>
        <x:v>Recover during research</x:v>
      </x:c>
      <x:c r="I21" s="30" t="str">
        <x:f>'MASTER_QUEUE'!Y77</x:f>
        <x:v>Not Started</x:v>
      </x:c>
    </x:row>
    <x:row r="22" ht="22" customHeight="1">
      <x:c r="A22" s="96" t="n">
        <x:v>18</x:v>
      </x:c>
      <x:c r="B22" s="96" t="n">
        <x:v>78</x:v>
      </x:c>
      <x:c r="C22" s="30" t="str">
        <x:f>'MASTER_QUEUE'!A78</x:f>
        <x:v>Backer Hotwatt</x:v>
      </x:c>
      <x:c r="D22" s="30" t="str">
        <x:f>'MASTER_QUEUE'!D78</x:f>
        <x:v>Danvers</x:v>
      </x:c>
      <x:c r="E22" s="30" t="str">
        <x:f>'MASTER_QUEUE'!K78</x:f>
        <x:v>Employer / Grantee</x:v>
      </x:c>
      <x:c r="F22" s="30" t="str">
        <x:f>'MASTER_QUEUE'!L78</x:f>
        <x:v>MassHire North Shore</x:v>
      </x:c>
      <x:c r="G22" s="30" t="str">
        <x:f>'MASTER_QUEUE'!M78</x:f>
        <x:v>[cite: 27]</x:v>
      </x:c>
      <x:c r="H22" s="30" t="str">
        <x:f>IF('MASTER_QUEUE'!G78="","Recover during research","Provided")</x:f>
        <x:v>Recover during research</x:v>
      </x:c>
      <x:c r="I22" s="30" t="str">
        <x:f>'MASTER_QUEUE'!Y78</x:f>
        <x:v>Not Started</x:v>
      </x:c>
    </x:row>
    <x:row r="23" ht="22" customHeight="1">
      <x:c r="A23" s="96" t="n">
        <x:v>19</x:v>
      </x:c>
      <x:c r="B23" s="96" t="n">
        <x:v>79</x:v>
      </x:c>
      <x:c r="C23" s="30" t="str">
        <x:f>'MASTER_QUEUE'!A79</x:f>
        <x:v>Bake-N-Joy Foods</x:v>
      </x:c>
      <x:c r="D23" s="30" t="str">
        <x:f>'MASTER_QUEUE'!D79</x:f>
        <x:v>North Andover</x:v>
      </x:c>
      <x:c r="E23" s="30" t="str">
        <x:f>'MASTER_QUEUE'!K79</x:f>
        <x:v>Employer / Grantee</x:v>
      </x:c>
      <x:c r="F23" s="30" t="str">
        <x:f>'MASTER_QUEUE'!L79</x:f>
        <x:v>MassHire Merrimack Valley</x:v>
      </x:c>
      <x:c r="G23" s="30" t="str">
        <x:f>'MASTER_QUEUE'!M79</x:f>
        <x:v>[cite: 27]</x:v>
      </x:c>
      <x:c r="H23" s="30" t="str">
        <x:f>IF('MASTER_QUEUE'!G79="","Recover during research","Provided")</x:f>
        <x:v>Recover during research</x:v>
      </x:c>
      <x:c r="I23" s="30" t="str">
        <x:f>'MASTER_QUEUE'!Y79</x:f>
        <x:v>Not Started</x:v>
      </x:c>
    </x:row>
    <x:row r="24" ht="22" customHeight="1">
      <x:c r="A24" s="96" t="n">
        <x:v>20</x:v>
      </x:c>
      <x:c r="B24" s="96" t="n">
        <x:v>80</x:v>
      </x:c>
      <x:c r="C24" s="30" t="str">
        <x:f>'MASTER_QUEUE'!A80</x:f>
        <x:v>Bertolino Foods</x:v>
      </x:c>
      <x:c r="D24" s="30" t="str">
        <x:f>'MASTER_QUEUE'!D80</x:f>
        <x:v>Peabody</x:v>
      </x:c>
      <x:c r="E24" s="30" t="str">
        <x:f>'MASTER_QUEUE'!K80</x:f>
        <x:v>Employer / Grantee</x:v>
      </x:c>
      <x:c r="F24" s="30" t="str">
        <x:f>'MASTER_QUEUE'!L80</x:f>
        <x:v>MassHire North Shore</x:v>
      </x:c>
      <x:c r="G24" s="30" t="str">
        <x:f>'MASTER_QUEUE'!M80</x:f>
        <x:v>[cite: 5]</x:v>
      </x:c>
      <x:c r="H24" s="30" t="str">
        <x:f>IF('MASTER_QUEUE'!G80="","Recover during research","Provided")</x:f>
        <x:v>Recover during research</x:v>
      </x:c>
      <x:c r="I24" s="30" t="str">
        <x:f>'MASTER_QUEUE'!Y80</x:f>
        <x:v>Not Started</x:v>
      </x:c>
    </x:row>
    <x:row r="25" ht="22" customHeight="1">
      <x:c r="A25" s="96" t="n">
        <x:v>21</x:v>
      </x:c>
      <x:c r="B25" s="96" t="n">
        <x:v>81</x:v>
      </x:c>
      <x:c r="C25" s="30" t="str">
        <x:f>'MASTER_QUEUE'!A81</x:f>
        <x:v>Bevi</x:v>
      </x:c>
      <x:c r="D25" s="30" t="str">
        <x:f>'MASTER_QUEUE'!D81</x:f>
        <x:v>Boston</x:v>
      </x:c>
      <x:c r="E25" s="30" t="str">
        <x:f>'MASTER_QUEUE'!K81</x:f>
        <x:v>Employer / Grantee</x:v>
      </x:c>
      <x:c r="F25" s="30" t="str">
        <x:f>'MASTER_QUEUE'!L81</x:f>
        <x:v>MassHire Boston</x:v>
      </x:c>
      <x:c r="G25" s="30" t="str">
        <x:f>'MASTER_QUEUE'!M81</x:f>
        <x:v>[cite: 29, 33]</x:v>
      </x:c>
      <x:c r="H25" s="30" t="str">
        <x:f>IF('MASTER_QUEUE'!G81="","Recover during research","Provided")</x:f>
        <x:v>Recover during research</x:v>
      </x:c>
      <x:c r="I25" s="30" t="str">
        <x:f>'MASTER_QUEUE'!Y81</x:f>
        <x:v>Not Started</x:v>
      </x:c>
    </x:row>
    <x:row r="26" ht="22" customHeight="1">
      <x:c r="A26" s="96" t="n">
        <x:v>22</x:v>
      </x:c>
      <x:c r="B26" s="96" t="n">
        <x:v>82</x:v>
      </x:c>
      <x:c r="C26" s="30" t="str">
        <x:f>'MASTER_QUEUE'!A82</x:f>
        <x:v>Blackbird Doughnuts &amp; Sally's Sandwiches</x:v>
      </x:c>
      <x:c r="D26" s="30" t="str">
        <x:f>'MASTER_QUEUE'!D82</x:f>
        <x:v>Boston</x:v>
      </x:c>
      <x:c r="E26" s="30" t="str">
        <x:f>'MASTER_QUEUE'!K82</x:f>
        <x:v>Employer / Grantee</x:v>
      </x:c>
      <x:c r="F26" s="30" t="str">
        <x:f>'MASTER_QUEUE'!L82</x:f>
        <x:v>MassHire Boston</x:v>
      </x:c>
      <x:c r="G26" s="30" t="str">
        <x:f>'MASTER_QUEUE'!M82</x:f>
        <x:v>[cite: 28, 29, 33]</x:v>
      </x:c>
      <x:c r="H26" s="30" t="str">
        <x:f>IF('MASTER_QUEUE'!G82="","Recover during research","Provided")</x:f>
        <x:v>Recover during research</x:v>
      </x:c>
      <x:c r="I26" s="30" t="str">
        <x:f>'MASTER_QUEUE'!Y82</x:f>
        <x:v>Not Started</x:v>
      </x:c>
    </x:row>
    <x:row r="27" ht="22" customHeight="1">
      <x:c r="A27" s="96" t="n">
        <x:v>23</x:v>
      </x:c>
      <x:c r="B27" s="96" t="n">
        <x:v>83</x:v>
      </x:c>
      <x:c r="C27" s="30" t="str">
        <x:f>'MASTER_QUEUE'!A83</x:f>
        <x:v>Blue Q Corporation</x:v>
      </x:c>
      <x:c r="D27" s="30" t="str">
        <x:f>'MASTER_QUEUE'!D83</x:f>
        <x:v>Pittsfield</x:v>
      </x:c>
      <x:c r="E27" s="30" t="str">
        <x:f>'MASTER_QUEUE'!K83</x:f>
        <x:v>Employer / Grantee</x:v>
      </x:c>
      <x:c r="F27" s="30" t="str">
        <x:f>'MASTER_QUEUE'!L83</x:f>
        <x:v>MassHire Berkshires</x:v>
      </x:c>
      <x:c r="G27" s="30" t="str">
        <x:f>'MASTER_QUEUE'!M83</x:f>
        <x:v>[cite: 2, 5]</x:v>
      </x:c>
      <x:c r="H27" s="30" t="str">
        <x:f>IF('MASTER_QUEUE'!G83="","Recover during research","Provided")</x:f>
        <x:v>Recover during research</x:v>
      </x:c>
      <x:c r="I27" s="30" t="str">
        <x:f>'MASTER_QUEUE'!Y83</x:f>
        <x:v>Not Started</x:v>
      </x:c>
    </x:row>
    <x:row r="28" ht="22" customHeight="1">
      <x:c r="A28" s="96" t="n">
        <x:v>24</x:v>
      </x:c>
      <x:c r="B28" s="96" t="n">
        <x:v>84</x:v>
      </x:c>
      <x:c r="C28" s="30" t="str">
        <x:f>'MASTER_QUEUE'!A84</x:f>
        <x:v>Bon Me Foods</x:v>
      </x:c>
      <x:c r="D28" s="30" t="str">
        <x:f>'MASTER_QUEUE'!D84</x:f>
        <x:v>Boston</x:v>
      </x:c>
      <x:c r="E28" s="30" t="str">
        <x:f>'MASTER_QUEUE'!K84</x:f>
        <x:v>Employer / Grantee</x:v>
      </x:c>
      <x:c r="F28" s="30" t="str">
        <x:f>'MASTER_QUEUE'!L84</x:f>
        <x:v>MassHire Boston</x:v>
      </x:c>
      <x:c r="G28" s="30" t="str">
        <x:f>'MASTER_QUEUE'!M84</x:f>
        <x:v>[cite: 27]</x:v>
      </x:c>
      <x:c r="H28" s="30" t="str">
        <x:f>IF('MASTER_QUEUE'!G84="","Recover during research","Provided")</x:f>
        <x:v>Recover during research</x:v>
      </x:c>
      <x:c r="I28" s="30" t="str">
        <x:f>'MASTER_QUEUE'!Y84</x:f>
        <x:v>Not Started</x:v>
      </x:c>
    </x:row>
    <x:row r="29" ht="22" customHeight="1">
      <x:c r="A29" s="96" t="n">
        <x:v>25</x:v>
      </x:c>
      <x:c r="B29" s="96" t="n">
        <x:v>85</x:v>
      </x:c>
      <x:c r="C29" s="30" t="str">
        <x:f>'MASTER_QUEUE'!A85</x:f>
        <x:v>Borg Design</x:v>
      </x:c>
      <x:c r="D29" s="30" t="str">
        <x:f>'MASTER_QUEUE'!D85</x:f>
        <x:v>Hudson</x:v>
      </x:c>
      <x:c r="E29" s="30" t="str">
        <x:f>'MASTER_QUEUE'!K85</x:f>
        <x:v>Employer / Grantee</x:v>
      </x:c>
      <x:c r="F29" s="30" t="str">
        <x:f>'MASTER_QUEUE'!L85</x:f>
        <x:v>MassHire Metro South/West</x:v>
      </x:c>
      <x:c r="G29" s="30" t="str">
        <x:f>'MASTER_QUEUE'!M85</x:f>
        <x:v>[cite: 29, 33]</x:v>
      </x:c>
      <x:c r="H29" s="30" t="str">
        <x:f>IF('MASTER_QUEUE'!G85="","Recover during research","Provided")</x:f>
        <x:v>Recover during research</x:v>
      </x:c>
      <x:c r="I29" s="30" t="str">
        <x:f>'MASTER_QUEUE'!Y85</x:f>
        <x:v>Not Started</x:v>
      </x:c>
    </x:row>
    <x:row r="30" ht="22" customHeight="1">
      <x:c r="A30" s="96" t="n">
        <x:v>26</x:v>
      </x:c>
      <x:c r="B30" s="96" t="n">
        <x:v>86</x:v>
      </x:c>
      <x:c r="C30" s="30" t="str">
        <x:f>'MASTER_QUEUE'!A86</x:f>
        <x:v>Boston Centerless</x:v>
      </x:c>
      <x:c r="D30" s="30" t="str">
        <x:f>'MASTER_QUEUE'!D86</x:f>
        <x:v>Woburn</x:v>
      </x:c>
      <x:c r="E30" s="30" t="str">
        <x:f>'MASTER_QUEUE'!K86</x:f>
        <x:v>Employer / Grantee</x:v>
      </x:c>
      <x:c r="F30" s="30" t="str">
        <x:f>'MASTER_QUEUE'!L86</x:f>
        <x:v>MassHire Metro North</x:v>
      </x:c>
      <x:c r="G30" s="30" t="str">
        <x:f>'MASTER_QUEUE'!M86</x:f>
        <x:v>[cite: 5]</x:v>
      </x:c>
      <x:c r="H30" s="30" t="str">
        <x:f>IF('MASTER_QUEUE'!G86="","Recover during research","Provided")</x:f>
        <x:v>Recover during research</x:v>
      </x:c>
      <x:c r="I30" s="30" t="str">
        <x:f>'MASTER_QUEUE'!Y86</x:f>
        <x:v>Not Started</x:v>
      </x:c>
    </x:row>
    <x:row r="31" ht="22" customHeight="1">
      <x:c r="A31" s="96" t="n">
        <x:v>27</x:v>
      </x:c>
      <x:c r="B31" s="96" t="n">
        <x:v>87</x:v>
      </x:c>
      <x:c r="C31" s="30" t="str">
        <x:f>'MASTER_QUEUE'!A87</x:f>
        <x:v>Boulevard Machine &amp; Gear</x:v>
      </x:c>
      <x:c r="D31" s="30" t="str">
        <x:f>'MASTER_QUEUE'!D87</x:f>
        <x:v>Westfield</x:v>
      </x:c>
      <x:c r="E31" s="30" t="str">
        <x:f>'MASTER_QUEUE'!K87</x:f>
        <x:v>Employer / Grantee</x:v>
      </x:c>
      <x:c r="F31" s="30" t="str">
        <x:f>'MASTER_QUEUE'!L87</x:f>
        <x:v>MassHire Hampden</x:v>
      </x:c>
      <x:c r="G31" s="30" t="str">
        <x:f>'MASTER_QUEUE'!M87</x:f>
        <x:v>[cite: 5]</x:v>
      </x:c>
      <x:c r="H31" s="30" t="str">
        <x:f>IF('MASTER_QUEUE'!G87="","Recover during research","Provided")</x:f>
        <x:v>Recover during research</x:v>
      </x:c>
      <x:c r="I31" s="30" t="str">
        <x:f>'MASTER_QUEUE'!Y87</x:f>
        <x:v>Not Started</x:v>
      </x:c>
    </x:row>
    <x:row r="32" ht="22" customHeight="1">
      <x:c r="A32" s="96" t="n">
        <x:v>28</x:v>
      </x:c>
      <x:c r="B32" s="96" t="n">
        <x:v>88</x:v>
      </x:c>
      <x:c r="C32" s="30" t="str">
        <x:f>'MASTER_QUEUE'!A88</x:f>
        <x:v>Brooks Automation US LLC</x:v>
      </x:c>
      <x:c r="D32" s="30" t="str">
        <x:f>'MASTER_QUEUE'!D88</x:f>
        <x:v>Chelmsford</x:v>
      </x:c>
      <x:c r="E32" s="30" t="str">
        <x:f>'MASTER_QUEUE'!K88</x:f>
        <x:v>Employer / Grantee</x:v>
      </x:c>
      <x:c r="F32" s="30" t="str">
        <x:f>'MASTER_QUEUE'!L88</x:f>
        <x:v>MassHire Greater Lowell</x:v>
      </x:c>
      <x:c r="G32" s="30" t="str">
        <x:f>'MASTER_QUEUE'!M88</x:f>
        <x:v>[cite: 27]</x:v>
      </x:c>
      <x:c r="H32" s="30" t="str">
        <x:f>IF('MASTER_QUEUE'!G88="","Recover during research","Provided")</x:f>
        <x:v>Recover during research</x:v>
      </x:c>
      <x:c r="I32" s="30" t="str">
        <x:f>'MASTER_QUEUE'!Y88</x:f>
        <x:v>Not Started</x:v>
      </x:c>
    </x:row>
    <x:row r="33" ht="22" customHeight="1">
      <x:c r="A33" s="96" t="n">
        <x:v>29</x:v>
      </x:c>
      <x:c r="B33" s="96" t="n">
        <x:v>89</x:v>
      </x:c>
      <x:c r="C33" s="30" t="str">
        <x:f>'MASTER_QUEUE'!A89</x:f>
        <x:v>BSE Print</x:v>
      </x:c>
      <x:c r="D33" s="30" t="str">
        <x:f>'MASTER_QUEUE'!D89</x:f>
        <x:v>Mansfield</x:v>
      </x:c>
      <x:c r="E33" s="30" t="str">
        <x:f>'MASTER_QUEUE'!K89</x:f>
        <x:v>Employer / Grantee</x:v>
      </x:c>
      <x:c r="F33" s="30" t="str">
        <x:f>'MASTER_QUEUE'!L89</x:f>
        <x:v>MassHire Bristol County</x:v>
      </x:c>
      <x:c r="G33" s="30" t="str">
        <x:f>'MASTER_QUEUE'!M89</x:f>
        <x:v>[cite: 2, 5]</x:v>
      </x:c>
      <x:c r="H33" s="30" t="str">
        <x:f>IF('MASTER_QUEUE'!G89="","Recover during research","Provided")</x:f>
        <x:v>Recover during research</x:v>
      </x:c>
      <x:c r="I33" s="30" t="str">
        <x:f>'MASTER_QUEUE'!Y89</x:f>
        <x:v>Not Started</x:v>
      </x:c>
    </x:row>
    <x:row r="34" ht="22" customHeight="1">
      <x:c r="A34" s="96" t="n">
        <x:v>30</x:v>
      </x:c>
      <x:c r="B34" s="96" t="n">
        <x:v>90</x:v>
      </x:c>
      <x:c r="C34" s="30" t="str">
        <x:f>'MASTER_QUEUE'!A90</x:f>
        <x:v>Built Environment Plus</x:v>
      </x:c>
      <x:c r="D34" s="30" t="str">
        <x:f>'MASTER_QUEUE'!D90</x:f>
        <x:v>Somerville</x:v>
      </x:c>
      <x:c r="E34" s="30" t="str">
        <x:f>'MASTER_QUEUE'!K90</x:f>
        <x:v>Employer / Grantee</x:v>
      </x:c>
      <x:c r="F34" s="30" t="str">
        <x:f>'MASTER_QUEUE'!L90</x:f>
        <x:v>MassHire Metro North</x:v>
      </x:c>
      <x:c r="G34" s="30" t="str">
        <x:f>'MASTER_QUEUE'!M90</x:f>
        <x:v>[cite: 28, 33]</x:v>
      </x:c>
      <x:c r="H34" s="30" t="str">
        <x:f>IF('MASTER_QUEUE'!G90="","Recover during research","Provided")</x:f>
        <x:v>Recover during research</x:v>
      </x:c>
      <x:c r="I34" s="30" t="str">
        <x:f>'MASTER_QUEUE'!Y90</x:f>
        <x:v>Not Started</x:v>
      </x:c>
    </x:row>
    <x:row r="35" ht="22" customHeight="1">
      <x:c r="A35" s="96" t="n">
        <x:v>31</x:v>
      </x:c>
      <x:c r="B35" s="96" t="n">
        <x:v>91</x:v>
      </x:c>
      <x:c r="C35" s="30" t="str">
        <x:f>'MASTER_QUEUE'!A91</x:f>
        <x:v>C&amp;W Facility Services</x:v>
      </x:c>
      <x:c r="D35" s="30" t="str">
        <x:f>'MASTER_QUEUE'!D91</x:f>
        <x:v>Needham</x:v>
      </x:c>
      <x:c r="E35" s="30" t="str">
        <x:f>'MASTER_QUEUE'!K91</x:f>
        <x:v>Employer / Grantee</x:v>
      </x:c>
      <x:c r="F35" s="30" t="str">
        <x:f>'MASTER_QUEUE'!L91</x:f>
        <x:v>MassHire Metro South/West</x:v>
      </x:c>
      <x:c r="G35" s="30" t="str">
        <x:f>'MASTER_QUEUE'!M91</x:f>
        <x:v>[cite: 29]</x:v>
      </x:c>
      <x:c r="H35" s="30" t="str">
        <x:f>IF('MASTER_QUEUE'!G91="","Recover during research","Provided")</x:f>
        <x:v>Recover during research</x:v>
      </x:c>
      <x:c r="I35" s="30" t="str">
        <x:f>'MASTER_QUEUE'!Y91</x:f>
        <x:v>Not Started</x:v>
      </x:c>
    </x:row>
    <x:row r="36" ht="22" customHeight="1">
      <x:c r="A36" s="96" t="n">
        <x:v>32</x:v>
      </x:c>
      <x:c r="B36" s="96" t="n">
        <x:v>92</x:v>
      </x:c>
      <x:c r="C36" s="30" t="str">
        <x:f>'MASTER_QUEUE'!A92</x:f>
        <x:v>Caring Bees Healthcare</x:v>
      </x:c>
      <x:c r="D36" s="30" t="str">
        <x:f>'MASTER_QUEUE'!D92</x:f>
        <x:v>Boston</x:v>
      </x:c>
      <x:c r="E36" s="30" t="str">
        <x:f>'MASTER_QUEUE'!K92</x:f>
        <x:v>Employer / Grantee</x:v>
      </x:c>
      <x:c r="F36" s="30" t="str">
        <x:f>'MASTER_QUEUE'!L92</x:f>
        <x:v>MassHire Boston</x:v>
      </x:c>
      <x:c r="G36" s="30" t="str">
        <x:f>'MASTER_QUEUE'!M92</x:f>
        <x:v>[cite: 28, 29, 33]</x:v>
      </x:c>
      <x:c r="H36" s="30" t="str">
        <x:f>IF('MASTER_QUEUE'!G92="","Recover during research","Provided")</x:f>
        <x:v>Recover during research</x:v>
      </x:c>
      <x:c r="I36" s="30" t="str">
        <x:f>'MASTER_QUEUE'!Y92</x:f>
        <x:v>Not Started</x:v>
      </x:c>
    </x:row>
    <x:row r="37" ht="22" customHeight="1">
      <x:c r="A37" s="96" t="n">
        <x:v>33</x:v>
      </x:c>
      <x:c r="B37" s="96" t="n">
        <x:v>93</x:v>
      </x:c>
      <x:c r="C37" s="30" t="str">
        <x:f>'MASTER_QUEUE'!A93</x:f>
        <x:v>Cartamundi East Longmeadow</x:v>
      </x:c>
      <x:c r="D37" s="30" t="str">
        <x:f>'MASTER_QUEUE'!D93</x:f>
        <x:v>East Longmeadow</x:v>
      </x:c>
      <x:c r="E37" s="30" t="str">
        <x:f>'MASTER_QUEUE'!K93</x:f>
        <x:v>Employer / Grantee</x:v>
      </x:c>
      <x:c r="F37" s="30" t="str">
        <x:f>'MASTER_QUEUE'!L93</x:f>
        <x:v>MassHire Hampden</x:v>
      </x:c>
      <x:c r="G37" s="30" t="str">
        <x:f>'MASTER_QUEUE'!M93</x:f>
        <x:v>[cite: 29, 33]</x:v>
      </x:c>
      <x:c r="H37" s="30" t="str">
        <x:f>IF('MASTER_QUEUE'!G93="","Recover during research","Provided")</x:f>
        <x:v>Recover during research</x:v>
      </x:c>
      <x:c r="I37" s="30" t="str">
        <x:f>'MASTER_QUEUE'!Y93</x:f>
        <x:v>Not Started</x:v>
      </x:c>
    </x:row>
    <x:row r="38" ht="22" customHeight="1">
      <x:c r="A38" s="96" t="n">
        <x:v>34</x:v>
      </x:c>
      <x:c r="B38" s="96" t="n">
        <x:v>94</x:v>
      </x:c>
      <x:c r="C38" s="30" t="str">
        <x:f>'MASTER_QUEUE'!A94</x:f>
        <x:v>Catania Oils</x:v>
      </x:c>
      <x:c r="D38" s="30" t="str">
        <x:f>'MASTER_QUEUE'!D94</x:f>
        <x:v>Ayer</x:v>
      </x:c>
      <x:c r="E38" s="30" t="str">
        <x:f>'MASTER_QUEUE'!K94</x:f>
        <x:v>Employer / Grantee</x:v>
      </x:c>
      <x:c r="F38" s="30" t="str">
        <x:f>'MASTER_QUEUE'!L94</x:f>
        <x:v>MassHire North Central MA</x:v>
      </x:c>
      <x:c r="G38" s="30" t="str">
        <x:f>'MASTER_QUEUE'!M94</x:f>
        <x:v>[cite: 56]</x:v>
      </x:c>
      <x:c r="H38" s="30" t="str">
        <x:f>IF('MASTER_QUEUE'!G94="","Recover during research","Provided")</x:f>
        <x:v>Recover during research</x:v>
      </x:c>
      <x:c r="I38" s="30" t="str">
        <x:f>'MASTER_QUEUE'!Y94</x:f>
        <x:v>Not Started</x:v>
      </x:c>
    </x:row>
    <x:row r="39" ht="22" customHeight="1">
      <x:c r="A39" s="96" t="n">
        <x:v>35</x:v>
      </x:c>
      <x:c r="B39" s="96" t="n">
        <x:v>95</x:v>
      </x:c>
      <x:c r="C39" s="30" t="str">
        <x:f>'MASTER_QUEUE'!A95</x:f>
        <x:v>CBT Architects</x:v>
      </x:c>
      <x:c r="D39" s="30" t="str">
        <x:f>'MASTER_QUEUE'!D95</x:f>
        <x:v>Boston</x:v>
      </x:c>
      <x:c r="E39" s="30" t="str">
        <x:f>'MASTER_QUEUE'!K95</x:f>
        <x:v>Employer / Grantee</x:v>
      </x:c>
      <x:c r="F39" s="30" t="str">
        <x:f>'MASTER_QUEUE'!L95</x:f>
        <x:v>MassHire Boston</x:v>
      </x:c>
      <x:c r="G39" s="30" t="str">
        <x:f>'MASTER_QUEUE'!M95</x:f>
        <x:v>[cite: 28, 29, 33]</x:v>
      </x:c>
      <x:c r="H39" s="30" t="str">
        <x:f>IF('MASTER_QUEUE'!G95="","Recover during research","Provided")</x:f>
        <x:v>Recover during research</x:v>
      </x:c>
      <x:c r="I39" s="30" t="str">
        <x:f>'MASTER_QUEUE'!Y95</x:f>
        <x:v>Not Started</x:v>
      </x:c>
    </x:row>
    <x:row r="40" ht="22" customHeight="1">
      <x:c r="A40" s="96" t="n">
        <x:v>36</x:v>
      </x:c>
      <x:c r="B40" s="96" t="n">
        <x:v>96</x:v>
      </x:c>
      <x:c r="C40" s="30" t="str">
        <x:f>'MASTER_QUEUE'!A96</x:f>
        <x:v>Children's Services of Roxbury</x:v>
      </x:c>
      <x:c r="D40" s="30" t="str">
        <x:f>'MASTER_QUEUE'!D96</x:f>
        <x:v>Boston</x:v>
      </x:c>
      <x:c r="E40" s="30" t="str">
        <x:f>'MASTER_QUEUE'!K96</x:f>
        <x:v>Employer / Grantee</x:v>
      </x:c>
      <x:c r="F40" s="30" t="str">
        <x:f>'MASTER_QUEUE'!L96</x:f>
        <x:v>MassHire Boston</x:v>
      </x:c>
      <x:c r="G40" s="30" t="str">
        <x:f>'MASTER_QUEUE'!M96</x:f>
        <x:v>[cite: 2]</x:v>
      </x:c>
      <x:c r="H40" s="30" t="str">
        <x:f>IF('MASTER_QUEUE'!G96="","Recover during research","Provided")</x:f>
        <x:v>Recover during research</x:v>
      </x:c>
      <x:c r="I40" s="30" t="str">
        <x:f>'MASTER_QUEUE'!Y96</x:f>
        <x:v>Not Started</x:v>
      </x:c>
    </x:row>
    <x:row r="41" ht="22" customHeight="1">
      <x:c r="A41" s="96" t="n">
        <x:v>37</x:v>
      </x:c>
      <x:c r="B41" s="96" t="n">
        <x:v>97</x:v>
      </x:c>
      <x:c r="C41" s="30" t="str">
        <x:f>'MASTER_QUEUE'!A97</x:f>
        <x:v>City Experiences</x:v>
      </x:c>
      <x:c r="D41" s="30" t="str">
        <x:f>'MASTER_QUEUE'!D97</x:f>
        <x:v>Boston</x:v>
      </x:c>
      <x:c r="E41" s="30" t="str">
        <x:f>'MASTER_QUEUE'!K97</x:f>
        <x:v>Employer / Grantee</x:v>
      </x:c>
      <x:c r="F41" s="30" t="str">
        <x:f>'MASTER_QUEUE'!L97</x:f>
        <x:v>MassHire Boston</x:v>
      </x:c>
      <x:c r="G41" s="30" t="str">
        <x:f>'MASTER_QUEUE'!M97</x:f>
        <x:v>[cite: 27]</x:v>
      </x:c>
      <x:c r="H41" s="30" t="str">
        <x:f>IF('MASTER_QUEUE'!G97="","Recover during research","Provided")</x:f>
        <x:v>Recover during research</x:v>
      </x:c>
      <x:c r="I41" s="30" t="str">
        <x:f>'MASTER_QUEUE'!Y97</x:f>
        <x:v>Not Started</x:v>
      </x:c>
    </x:row>
    <x:row r="42" ht="22" customHeight="1">
      <x:c r="A42" s="96" t="n">
        <x:v>38</x:v>
      </x:c>
      <x:c r="B42" s="96" t="n">
        <x:v>98</x:v>
      </x:c>
      <x:c r="C42" s="30" t="str">
        <x:f>'MASTER_QUEUE'!A98</x:f>
        <x:v>City Fresh Foods</x:v>
      </x:c>
      <x:c r="D42" s="30" t="str">
        <x:f>'MASTER_QUEUE'!D98</x:f>
        <x:v>Boston</x:v>
      </x:c>
      <x:c r="E42" s="30" t="str">
        <x:f>'MASTER_QUEUE'!K98</x:f>
        <x:v>Employer / Grantee</x:v>
      </x:c>
      <x:c r="F42" s="30" t="str">
        <x:f>'MASTER_QUEUE'!L98</x:f>
        <x:v>MassHire Boston</x:v>
      </x:c>
      <x:c r="G42" s="30" t="str">
        <x:f>'MASTER_QUEUE'!M98</x:f>
        <x:v>[cite: 2, 5]</x:v>
      </x:c>
      <x:c r="H42" s="30" t="str">
        <x:f>IF('MASTER_QUEUE'!G98="","Recover during research","Provided")</x:f>
        <x:v>Recover during research</x:v>
      </x:c>
      <x:c r="I42" s="30" t="str">
        <x:f>'MASTER_QUEUE'!Y98</x:f>
        <x:v>Not Started</x:v>
      </x:c>
    </x:row>
    <x:row r="43" ht="22" customHeight="1">
      <x:c r="A43" s="96" t="n">
        <x:v>39</x:v>
      </x:c>
      <x:c r="B43" s="96" t="n">
        <x:v>99</x:v>
      </x:c>
      <x:c r="C43" s="30" t="str">
        <x:f>'MASTER_QUEUE'!A99</x:f>
        <x:v>City of Boston Credit Union</x:v>
      </x:c>
      <x:c r="D43" s="30" t="str">
        <x:f>'MASTER_QUEUE'!D99</x:f>
        <x:v>Boston</x:v>
      </x:c>
      <x:c r="E43" s="30" t="str">
        <x:f>'MASTER_QUEUE'!K99</x:f>
        <x:v>Employer / Grantee</x:v>
      </x:c>
      <x:c r="F43" s="30" t="str">
        <x:f>'MASTER_QUEUE'!L99</x:f>
        <x:v>MassHire Boston</x:v>
      </x:c>
      <x:c r="G43" s="30" t="str">
        <x:f>'MASTER_QUEUE'!M99</x:f>
        <x:v>[cite: 2, 5]</x:v>
      </x:c>
      <x:c r="H43" s="30" t="str">
        <x:f>IF('MASTER_QUEUE'!G99="","Recover during research","Provided")</x:f>
        <x:v>Recover during research</x:v>
      </x:c>
      <x:c r="I43" s="30" t="str">
        <x:f>'MASTER_QUEUE'!Y99</x:f>
        <x:v>Not Started</x:v>
      </x:c>
    </x:row>
    <x:row r="44" ht="22" customHeight="1">
      <x:c r="A44" s="96" t="n">
        <x:v>40</x:v>
      </x:c>
      <x:c r="B44" s="96" t="n">
        <x:v>100</x:v>
      </x:c>
      <x:c r="C44" s="30" t="str">
        <x:f>'MASTER_QUEUE'!A100</x:f>
        <x:v>Cityscapes Plant Care</x:v>
      </x:c>
      <x:c r="D44" s="30" t="str">
        <x:f>'MASTER_QUEUE'!D100</x:f>
        <x:v>Boston</x:v>
      </x:c>
      <x:c r="E44" s="30" t="str">
        <x:f>'MASTER_QUEUE'!K100</x:f>
        <x:v>Employer / Grantee</x:v>
      </x:c>
      <x:c r="F44" s="30" t="str">
        <x:f>'MASTER_QUEUE'!L100</x:f>
        <x:v>MassHire Boston</x:v>
      </x:c>
      <x:c r="G44" s="30" t="str">
        <x:f>'MASTER_QUEUE'!M100</x:f>
        <x:v>[cite: 2, 5]</x:v>
      </x:c>
      <x:c r="H44" s="30" t="str">
        <x:f>IF('MASTER_QUEUE'!G100="","Recover during research","Provided")</x:f>
        <x:v>Recover during research</x:v>
      </x:c>
      <x:c r="I44" s="30" t="str">
        <x:f>'MASTER_QUEUE'!Y100</x:f>
        <x:v>Not Started</x:v>
      </x:c>
    </x:row>
    <x:row r="45" ht="22" customHeight="1">
      <x:c r="A45" s="96" t="n">
        <x:v>41</x:v>
      </x:c>
      <x:c r="B45" s="96" t="n">
        <x:v>101</x:v>
      </x:c>
      <x:c r="C45" s="30" t="str">
        <x:f>'MASTER_QUEUE'!A101</x:f>
        <x:v>ClearMotion, Inc.</x:v>
      </x:c>
      <x:c r="D45" s="30" t="str">
        <x:f>'MASTER_QUEUE'!D101</x:f>
        <x:v>Billerica</x:v>
      </x:c>
      <x:c r="E45" s="30" t="str">
        <x:f>'MASTER_QUEUE'!K101</x:f>
        <x:v>Employer / Grantee</x:v>
      </x:c>
      <x:c r="F45" s="30" t="str">
        <x:f>'MASTER_QUEUE'!L101</x:f>
        <x:v>MassHire Greater Lowell</x:v>
      </x:c>
      <x:c r="G45" s="30" t="str">
        <x:f>'MASTER_QUEUE'!M101</x:f>
        <x:v>[cite: 56]</x:v>
      </x:c>
      <x:c r="H45" s="30" t="str">
        <x:f>IF('MASTER_QUEUE'!G101="","Recover during research","Provided")</x:f>
        <x:v>Recover during research</x:v>
      </x:c>
      <x:c r="I45" s="30" t="str">
        <x:f>'MASTER_QUEUE'!Y101</x:f>
        <x:v>Not Started</x:v>
      </x:c>
    </x:row>
    <x:row r="46" ht="22" customHeight="1">
      <x:c r="A46" s="96" t="n">
        <x:v>42</x:v>
      </x:c>
      <x:c r="B46" s="96" t="n">
        <x:v>102</x:v>
      </x:c>
      <x:c r="C46" s="30" t="str">
        <x:f>'MASTER_QUEUE'!A102</x:f>
        <x:v>Colonial Saw</x:v>
      </x:c>
      <x:c r="D46" s="30" t="str">
        <x:f>'MASTER_QUEUE'!D102</x:f>
        <x:v>Kingston</x:v>
      </x:c>
      <x:c r="E46" s="30" t="str">
        <x:f>'MASTER_QUEUE'!K102</x:f>
        <x:v>Employer / Grantee</x:v>
      </x:c>
      <x:c r="F46" s="30" t="str">
        <x:f>'MASTER_QUEUE'!L102</x:f>
        <x:v>MassHire South Shore</x:v>
      </x:c>
      <x:c r="G46" s="30" t="str">
        <x:f>'MASTER_QUEUE'!M102</x:f>
        <x:v>[cite: 29, 33]</x:v>
      </x:c>
      <x:c r="H46" s="30" t="str">
        <x:f>IF('MASTER_QUEUE'!G102="","Recover during research","Provided")</x:f>
        <x:v>Recover during research</x:v>
      </x:c>
      <x:c r="I46" s="30" t="str">
        <x:f>'MASTER_QUEUE'!Y102</x:f>
        <x:v>Not Started</x:v>
      </x:c>
    </x:row>
    <x:row r="47" ht="22" customHeight="1">
      <x:c r="A47" s="96" t="n">
        <x:v>43</x:v>
      </x:c>
      <x:c r="B47" s="96" t="n">
        <x:v>103</x:v>
      </x:c>
      <x:c r="C47" s="30" t="str">
        <x:f>'MASTER_QUEUE'!A103</x:f>
        <x:v>Comalli Group</x:v>
      </x:c>
      <x:c r="D47" s="30" t="str">
        <x:f>'MASTER_QUEUE'!D103</x:f>
        <x:v>Pittsfield</x:v>
      </x:c>
      <x:c r="E47" s="30" t="str">
        <x:f>'MASTER_QUEUE'!K103</x:f>
        <x:v>Employer / Grantee</x:v>
      </x:c>
      <x:c r="F47" s="30" t="str">
        <x:f>'MASTER_QUEUE'!L103</x:f>
        <x:v>MassHire Berkshires</x:v>
      </x:c>
      <x:c r="G47" s="30" t="str">
        <x:f>'MASTER_QUEUE'!M103</x:f>
        <x:v>[cite: 2, 5]</x:v>
      </x:c>
      <x:c r="H47" s="30" t="str">
        <x:f>IF('MASTER_QUEUE'!G103="","Recover during research","Provided")</x:f>
        <x:v>Recover during research</x:v>
      </x:c>
      <x:c r="I47" s="30" t="str">
        <x:f>'MASTER_QUEUE'!Y103</x:f>
        <x:v>Not Started</x:v>
      </x:c>
    </x:row>
    <x:row r="48" ht="22" customHeight="1">
      <x:c r="A48" s="96" t="n">
        <x:v>44</x:v>
      </x:c>
      <x:c r="B48" s="96" t="n">
        <x:v>104</x:v>
      </x:c>
      <x:c r="C48" s="30" t="str">
        <x:f>'MASTER_QUEUE'!A104</x:f>
        <x:v>Commonwealth Soap &amp; Toiletries</x:v>
      </x:c>
      <x:c r="D48" s="30" t="str">
        <x:f>'MASTER_QUEUE'!D104</x:f>
        <x:v>Fall River</x:v>
      </x:c>
      <x:c r="E48" s="30" t="str">
        <x:f>'MASTER_QUEUE'!K104</x:f>
        <x:v>Employer / Grantee</x:v>
      </x:c>
      <x:c r="F48" s="30" t="str">
        <x:f>'MASTER_QUEUE'!L104</x:f>
        <x:v>MassHire Bristol County</x:v>
      </x:c>
      <x:c r="G48" s="30" t="str">
        <x:f>'MASTER_QUEUE'!M104</x:f>
        <x:v>[cite: 2, 5]</x:v>
      </x:c>
      <x:c r="H48" s="30" t="str">
        <x:f>IF('MASTER_QUEUE'!G104="","Recover during research","Provided")</x:f>
        <x:v>Recover during research</x:v>
      </x:c>
      <x:c r="I48" s="30" t="str">
        <x:f>'MASTER_QUEUE'!Y104</x:f>
        <x:v>Not Started</x:v>
      </x:c>
    </x:row>
    <x:row r="49" ht="22" customHeight="1">
      <x:c r="A49" s="96" t="n">
        <x:v>45</x:v>
      </x:c>
      <x:c r="B49" s="96" t="n">
        <x:v>105</x:v>
      </x:c>
      <x:c r="C49" s="30" t="str">
        <x:f>'MASTER_QUEUE'!A105</x:f>
        <x:v>Compare Supermarket</x:v>
      </x:c>
      <x:c r="D49" s="30" t="str">
        <x:f>'MASTER_QUEUE'!D105</x:f>
        <x:v>Chelsea</x:v>
      </x:c>
      <x:c r="E49" s="30" t="str">
        <x:f>'MASTER_QUEUE'!K105</x:f>
        <x:v>Employer / Grantee</x:v>
      </x:c>
      <x:c r="F49" s="30" t="str">
        <x:f>'MASTER_QUEUE'!L105</x:f>
        <x:v>MassHire Metro North</x:v>
      </x:c>
      <x:c r="G49" s="30" t="str">
        <x:f>'MASTER_QUEUE'!M105</x:f>
        <x:v>[cite: 56]</x:v>
      </x:c>
      <x:c r="H49" s="30" t="str">
        <x:f>IF('MASTER_QUEUE'!G105="","Recover during research","Provided")</x:f>
        <x:v>Recover during research</x:v>
      </x:c>
      <x:c r="I49" s="30" t="str">
        <x:f>'MASTER_QUEUE'!Y105</x:f>
        <x:v>Not Started</x:v>
      </x:c>
    </x:row>
    <x:row r="50" ht="22" customHeight="1">
      <x:c r="A50" s="96" t="n">
        <x:v>46</x:v>
      </x:c>
      <x:c r="B50" s="96" t="n">
        <x:v>106</x:v>
      </x:c>
      <x:c r="C50" s="30" t="str">
        <x:f>'MASTER_QUEUE'!A106</x:f>
        <x:v>Consolidated Sterilizer Systems</x:v>
      </x:c>
      <x:c r="D50" s="30" t="str">
        <x:f>'MASTER_QUEUE'!D106</x:f>
        <x:v>Billerica</x:v>
      </x:c>
      <x:c r="E50" s="30" t="str">
        <x:f>'MASTER_QUEUE'!K106</x:f>
        <x:v>Employer / Grantee</x:v>
      </x:c>
      <x:c r="F50" s="30" t="str">
        <x:f>'MASTER_QUEUE'!L106</x:f>
        <x:v>MassHire Greater Lowell</x:v>
      </x:c>
      <x:c r="G50" s="30" t="str">
        <x:f>'MASTER_QUEUE'!M106</x:f>
        <x:v>[cite: 56]</x:v>
      </x:c>
      <x:c r="H50" s="30" t="str">
        <x:f>IF('MASTER_QUEUE'!G106="","Recover during research","Provided")</x:f>
        <x:v>Recover during research</x:v>
      </x:c>
      <x:c r="I50" s="30" t="str">
        <x:f>'MASTER_QUEUE'!Y106</x:f>
        <x:v>Not Started</x:v>
      </x:c>
    </x:row>
    <x:row r="51" ht="22" customHeight="1">
      <x:c r="A51" s="96" t="n">
        <x:v>47</x:v>
      </x:c>
      <x:c r="B51" s="96" t="n">
        <x:v>107</x:v>
      </x:c>
      <x:c r="C51" s="30" t="str">
        <x:f>'MASTER_QUEUE'!A107</x:f>
        <x:v>Courtyard Boston Downtown</x:v>
      </x:c>
      <x:c r="D51" s="30" t="str">
        <x:f>'MASTER_QUEUE'!D107</x:f>
        <x:v>Boston</x:v>
      </x:c>
      <x:c r="E51" s="30" t="str">
        <x:f>'MASTER_QUEUE'!K107</x:f>
        <x:v>Employer / Grantee</x:v>
      </x:c>
      <x:c r="F51" s="30" t="str">
        <x:f>'MASTER_QUEUE'!L107</x:f>
        <x:v>MassHire Boston</x:v>
      </x:c>
      <x:c r="G51" s="30" t="str">
        <x:f>'MASTER_QUEUE'!M107</x:f>
        <x:v>[cite: 2]</x:v>
      </x:c>
      <x:c r="H51" s="30" t="str">
        <x:f>IF('MASTER_QUEUE'!G107="","Recover during research","Provided")</x:f>
        <x:v>Recover during research</x:v>
      </x:c>
      <x:c r="I51" s="30" t="str">
        <x:f>'MASTER_QUEUE'!Y107</x:f>
        <x:v>Not Started</x:v>
      </x:c>
    </x:row>
    <x:row r="52" ht="22" customHeight="1">
      <x:c r="A52" s="96" t="n">
        <x:v>48</x:v>
      </x:c>
      <x:c r="B52" s="96" t="n">
        <x:v>108</x:v>
      </x:c>
      <x:c r="C52" s="30" t="str">
        <x:f>'MASTER_QUEUE'!A108</x:f>
        <x:v>Creative Office Resources</x:v>
      </x:c>
      <x:c r="D52" s="30" t="str">
        <x:f>'MASTER_QUEUE'!D108</x:f>
        <x:v>Boston</x:v>
      </x:c>
      <x:c r="E52" s="30" t="str">
        <x:f>'MASTER_QUEUE'!K108</x:f>
        <x:v>Employer / Grantee</x:v>
      </x:c>
      <x:c r="F52" s="30" t="str">
        <x:f>'MASTER_QUEUE'!L108</x:f>
        <x:v>MassHire Boston</x:v>
      </x:c>
      <x:c r="G52" s="30" t="str">
        <x:f>'MASTER_QUEUE'!M108</x:f>
        <x:v>[cite: 2, 5]</x:v>
      </x:c>
      <x:c r="H52" s="30" t="str">
        <x:f>IF('MASTER_QUEUE'!G108="","Recover during research","Provided")</x:f>
        <x:v>Recover during research</x:v>
      </x:c>
      <x:c r="I52" s="30" t="str">
        <x:f>'MASTER_QUEUE'!Y108</x:f>
        <x:v>Not Started</x:v>
      </x:c>
    </x:row>
    <x:row r="53" ht="22" customHeight="1">
      <x:c r="A53" s="96" t="n">
        <x:v>49</x:v>
      </x:c>
      <x:c r="B53" s="96" t="n">
        <x:v>109</x:v>
      </x:c>
      <x:c r="C53" s="30" t="str">
        <x:f>'MASTER_QUEUE'!A109</x:f>
        <x:v>Dan-Kar</x:v>
      </x:c>
      <x:c r="D53" s="30" t="str">
        <x:f>'MASTER_QUEUE'!D109</x:f>
        <x:v>Woburn</x:v>
      </x:c>
      <x:c r="E53" s="30" t="str">
        <x:f>'MASTER_QUEUE'!K109</x:f>
        <x:v>Employer / Grantee</x:v>
      </x:c>
      <x:c r="F53" s="30" t="str">
        <x:f>'MASTER_QUEUE'!L109</x:f>
        <x:v>MassHire Metro North</x:v>
      </x:c>
      <x:c r="G53" s="30" t="str">
        <x:f>'MASTER_QUEUE'!M109</x:f>
        <x:v>[cite: 29]</x:v>
      </x:c>
      <x:c r="H53" s="30" t="str">
        <x:f>IF('MASTER_QUEUE'!G109="","Recover during research","Provided")</x:f>
        <x:v>Recover during research</x:v>
      </x:c>
      <x:c r="I53" s="30" t="str">
        <x:f>'MASTER_QUEUE'!Y109</x:f>
        <x:v>Not Started</x:v>
      </x:c>
    </x:row>
    <x:row r="54" ht="22" customHeight="1">
      <x:c r="A54" s="96" t="n">
        <x:v>50</x:v>
      </x:c>
      <x:c r="B54" s="96" t="n">
        <x:v>110</x:v>
      </x:c>
      <x:c r="C54" s="30" t="str">
        <x:f>'MASTER_QUEUE'!A110</x:f>
        <x:v>Danvers Industrial Packaging</x:v>
      </x:c>
      <x:c r="D54" s="30" t="str">
        <x:f>'MASTER_QUEUE'!D110</x:f>
        <x:v>Beverly</x:v>
      </x:c>
      <x:c r="E54" s="30" t="str">
        <x:f>'MASTER_QUEUE'!K110</x:f>
        <x:v>Employer / Grantee</x:v>
      </x:c>
      <x:c r="F54" s="30" t="str">
        <x:f>'MASTER_QUEUE'!L110</x:f>
        <x:v>MassHire North Shore</x:v>
      </x:c>
      <x:c r="G54" s="30" t="str">
        <x:f>'MASTER_QUEUE'!M110</x:f>
        <x:v>[cite: 33]</x:v>
      </x:c>
      <x:c r="H54" s="30" t="str">
        <x:f>IF('MASTER_QUEUE'!G110="","Recover during research","Provided")</x:f>
        <x:v>Recover during research</x:v>
      </x:c>
      <x:c r="I54" s="30" t="str">
        <x:f>'MASTER_QUEUE'!Y110</x:f>
        <x:v>Not Started</x:v>
      </x:c>
    </x:row>
    <x:row r="55" ht="22" customHeight="1">
      <x:c r="A55" s="96" t="n">
        <x:v>51</x:v>
      </x:c>
      <x:c r="B55" s="96" t="n">
        <x:v>111</x:v>
      </x:c>
      <x:c r="C55" s="30" t="str">
        <x:f>'MASTER_QUEUE'!A111</x:f>
        <x:v>Dean Cooperative Bank</x:v>
      </x:c>
      <x:c r="D55" s="30" t="str">
        <x:f>'MASTER_QUEUE'!D111</x:f>
        <x:v>Franklin</x:v>
      </x:c>
      <x:c r="E55" s="30" t="str">
        <x:f>'MASTER_QUEUE'!K111</x:f>
        <x:v>Employer / Grantee</x:v>
      </x:c>
      <x:c r="F55" s="30" t="str">
        <x:f>'MASTER_QUEUE'!L111</x:f>
        <x:v>MassHire Central MA</x:v>
      </x:c>
      <x:c r="G55" s="30" t="str">
        <x:f>'MASTER_QUEUE'!M111</x:f>
        <x:v>[cite: 5]</x:v>
      </x:c>
      <x:c r="H55" s="30" t="str">
        <x:f>IF('MASTER_QUEUE'!G111="","Recover during research","Provided")</x:f>
        <x:v>Recover during research</x:v>
      </x:c>
      <x:c r="I55" s="30" t="str">
        <x:f>'MASTER_QUEUE'!Y111</x:f>
        <x:v>Not Started</x:v>
      </x:c>
    </x:row>
    <x:row r="56" ht="22" customHeight="1">
      <x:c r="A56" s="96" t="n">
        <x:v>52</x:v>
      </x:c>
      <x:c r="B56" s="96" t="n">
        <x:v>112</x:v>
      </x:c>
      <x:c r="C56" s="30" t="str">
        <x:f>'MASTER_QUEUE'!A112</x:f>
        <x:v>DEM Biopharma</x:v>
      </x:c>
      <x:c r="D56" s="30" t="str">
        <x:f>'MASTER_QUEUE'!D112</x:f>
        <x:v>Boston</x:v>
      </x:c>
      <x:c r="E56" s="30" t="str">
        <x:f>'MASTER_QUEUE'!K112</x:f>
        <x:v>Employer / Grantee</x:v>
      </x:c>
      <x:c r="F56" s="30" t="str">
        <x:f>'MASTER_QUEUE'!L112</x:f>
        <x:v>MassHire Boston</x:v>
      </x:c>
      <x:c r="G56" s="30" t="str">
        <x:f>'MASTER_QUEUE'!M112</x:f>
        <x:v>[cite: 29, 33]</x:v>
      </x:c>
      <x:c r="H56" s="30" t="str">
        <x:f>IF('MASTER_QUEUE'!G112="","Recover during research","Provided")</x:f>
        <x:v>Recover during research</x:v>
      </x:c>
      <x:c r="I56" s="30" t="str">
        <x:f>'MASTER_QUEUE'!Y112</x:f>
        <x:v>Not Started</x:v>
      </x:c>
    </x:row>
    <x:row r="57" ht="22" customHeight="1">
      <x:c r="A57" s="96" t="n">
        <x:v>53</x:v>
      </x:c>
      <x:c r="B57" s="96" t="n">
        <x:v>113</x:v>
      </x:c>
      <x:c r="C57" s="30" t="str">
        <x:f>'MASTER_QUEUE'!A113</x:f>
        <x:v>Dimeo Construction Company</x:v>
      </x:c>
      <x:c r="D57" s="30" t="str">
        <x:f>'MASTER_QUEUE'!D113</x:f>
        <x:v>Boston</x:v>
      </x:c>
      <x:c r="E57" s="30" t="str">
        <x:f>'MASTER_QUEUE'!K113</x:f>
        <x:v>Employer / Grantee</x:v>
      </x:c>
      <x:c r="F57" s="30" t="str">
        <x:f>'MASTER_QUEUE'!L113</x:f>
        <x:v>MassHire Boston</x:v>
      </x:c>
      <x:c r="G57" s="30" t="str">
        <x:f>'MASTER_QUEUE'!M113</x:f>
        <x:v>[cite: 2, 5]</x:v>
      </x:c>
      <x:c r="H57" s="30" t="str">
        <x:f>IF('MASTER_QUEUE'!G113="","Recover during research","Provided")</x:f>
        <x:v>Recover during research</x:v>
      </x:c>
      <x:c r="I57" s="30" t="str">
        <x:f>'MASTER_QUEUE'!Y113</x:f>
        <x:v>Not Started</x:v>
      </x:c>
    </x:row>
    <x:row r="58" ht="22" customHeight="1">
      <x:c r="A58" s="96" t="n">
        <x:v>54</x:v>
      </x:c>
      <x:c r="B58" s="96" t="n">
        <x:v>114</x:v>
      </x:c>
      <x:c r="C58" s="30" t="str">
        <x:f>'MASTER_QUEUE'!A114</x:f>
        <x:v>Eagle Stainless Tube &amp; Fabrication</x:v>
      </x:c>
      <x:c r="D58" s="30" t="str">
        <x:f>'MASTER_QUEUE'!D114</x:f>
        <x:v>Franklin</x:v>
      </x:c>
      <x:c r="E58" s="30" t="str">
        <x:f>'MASTER_QUEUE'!K114</x:f>
        <x:v>Employer / Grantee</x:v>
      </x:c>
      <x:c r="F58" s="30" t="str">
        <x:f>'MASTER_QUEUE'!L114</x:f>
        <x:v>MassHire Central MA</x:v>
      </x:c>
      <x:c r="G58" s="30" t="str">
        <x:f>'MASTER_QUEUE'!M114</x:f>
        <x:v>[cite: 5]</x:v>
      </x:c>
      <x:c r="H58" s="30" t="str">
        <x:f>IF('MASTER_QUEUE'!G114="","Recover during research","Provided")</x:f>
        <x:v>Recover during research</x:v>
      </x:c>
      <x:c r="I58" s="30" t="str">
        <x:f>'MASTER_QUEUE'!Y114</x:f>
        <x:v>Not Started</x:v>
      </x:c>
    </x:row>
    <x:row r="59" ht="22" customHeight="1">
      <x:c r="A59" s="96" t="n">
        <x:v>55</x:v>
      </x:c>
      <x:c r="B59" s="96" t="n">
        <x:v>115</x:v>
      </x:c>
      <x:c r="C59" s="30" t="str">
        <x:f>'MASTER_QUEUE'!A115</x:f>
        <x:v>Electronic Products</x:v>
      </x:c>
      <x:c r="D59" s="30" t="str">
        <x:f>'MASTER_QUEUE'!D115</x:f>
        <x:v>Newburyport</x:v>
      </x:c>
      <x:c r="E59" s="30" t="str">
        <x:f>'MASTER_QUEUE'!K115</x:f>
        <x:v>Employer / Grantee</x:v>
      </x:c>
      <x:c r="F59" s="30" t="str">
        <x:f>'MASTER_QUEUE'!L115</x:f>
        <x:v>MassHire Merrimack Valley</x:v>
      </x:c>
      <x:c r="G59" s="30" t="str">
        <x:f>'MASTER_QUEUE'!M115</x:f>
        <x:v>[cite: 28]</x:v>
      </x:c>
      <x:c r="H59" s="30" t="str">
        <x:f>IF('MASTER_QUEUE'!G115="","Recover during research","Provided")</x:f>
        <x:v>Recover during research</x:v>
      </x:c>
      <x:c r="I59" s="30" t="str">
        <x:f>'MASTER_QUEUE'!Y115</x:f>
        <x:v>Not Started</x:v>
      </x:c>
    </x:row>
    <x:row r="60" ht="22" customHeight="1">
      <x:c r="A60" s="96" t="n">
        <x:v>56</x:v>
      </x:c>
      <x:c r="B60" s="96" t="n">
        <x:v>116</x:v>
      </x:c>
      <x:c r="C60" s="30" t="str">
        <x:f>'MASTER_QUEUE'!A116</x:f>
        <x:v>Embrace Pathways to Wellness</x:v>
      </x:c>
      <x:c r="D60" s="30" t="str">
        <x:f>'MASTER_QUEUE'!D116</x:f>
        <x:v>Peabody</x:v>
      </x:c>
      <x:c r="E60" s="30" t="str">
        <x:f>'MASTER_QUEUE'!K116</x:f>
        <x:v>Employer / Grantee</x:v>
      </x:c>
      <x:c r="F60" s="30" t="str">
        <x:f>'MASTER_QUEUE'!L116</x:f>
        <x:v>MassHire North Shore</x:v>
      </x:c>
      <x:c r="G60" s="30" t="str">
        <x:f>'MASTER_QUEUE'!M116</x:f>
        <x:v>[cite: 5]</x:v>
      </x:c>
      <x:c r="H60" s="30" t="str">
        <x:f>IF('MASTER_QUEUE'!G116="","Recover during research","Provided")</x:f>
        <x:v>Recover during research</x:v>
      </x:c>
      <x:c r="I60" s="30" t="str">
        <x:f>'MASTER_QUEUE'!Y116</x:f>
        <x:v>Not Started</x:v>
      </x:c>
    </x:row>
    <x:row r="61" ht="22" customHeight="1">
      <x:c r="A61" s="96" t="n">
        <x:v>57</x:v>
      </x:c>
      <x:c r="B61" s="96" t="n">
        <x:v>117</x:v>
      </x:c>
      <x:c r="C61" s="30" t="str">
        <x:f>'MASTER_QUEUE'!A117</x:f>
        <x:v>Energetiq</x:v>
      </x:c>
      <x:c r="D61" s="30" t="str">
        <x:f>'MASTER_QUEUE'!D117</x:f>
        <x:v>Wilmington</x:v>
      </x:c>
      <x:c r="E61" s="30" t="str">
        <x:f>'MASTER_QUEUE'!K117</x:f>
        <x:v>Employer / Grantee</x:v>
      </x:c>
      <x:c r="F61" s="30" t="str">
        <x:f>'MASTER_QUEUE'!L117</x:f>
        <x:v>MassHire Metro North</x:v>
      </x:c>
      <x:c r="G61" s="30" t="str">
        <x:f>'MASTER_QUEUE'!M117</x:f>
        <x:v>[cite: 28, 29]</x:v>
      </x:c>
      <x:c r="H61" s="30" t="str">
        <x:f>IF('MASTER_QUEUE'!G117="","Recover during research","Provided")</x:f>
        <x:v>Recover during research</x:v>
      </x:c>
      <x:c r="I61" s="30" t="str">
        <x:f>'MASTER_QUEUE'!Y117</x:f>
        <x:v>Not Started</x:v>
      </x:c>
    </x:row>
    <x:row r="62" ht="22" customHeight="1">
      <x:c r="A62" s="96" t="n">
        <x:v>58</x:v>
      </x:c>
      <x:c r="B62" s="96" t="n">
        <x:v>118</x:v>
      </x:c>
      <x:c r="C62" s="30" t="str">
        <x:f>'MASTER_QUEUE'!A118</x:f>
        <x:v>Entrada Therapeutics</x:v>
      </x:c>
      <x:c r="D62" s="30" t="str">
        <x:f>'MASTER_QUEUE'!D118</x:f>
        <x:v>Boston</x:v>
      </x:c>
      <x:c r="E62" s="30" t="str">
        <x:f>'MASTER_QUEUE'!K118</x:f>
        <x:v>Employer / Grantee</x:v>
      </x:c>
      <x:c r="F62" s="30" t="str">
        <x:f>'MASTER_QUEUE'!L118</x:f>
        <x:v>MassHire Boston</x:v>
      </x:c>
      <x:c r="G62" s="30" t="str">
        <x:f>'MASTER_QUEUE'!M118</x:f>
        <x:v>[cite: 29, 33]</x:v>
      </x:c>
      <x:c r="H62" s="30" t="str">
        <x:f>IF('MASTER_QUEUE'!G118="","Recover during research","Provided")</x:f>
        <x:v>Recover during research</x:v>
      </x:c>
      <x:c r="I62" s="30" t="str">
        <x:f>'MASTER_QUEUE'!Y118</x:f>
        <x:v>Not Started</x:v>
      </x:c>
    </x:row>
    <x:row r="63" ht="22" customHeight="1">
      <x:c r="A63" s="96" t="n">
        <x:v>59</x:v>
      </x:c>
      <x:c r="B63" s="96" t="n">
        <x:v>119</x:v>
      </x:c>
      <x:c r="C63" s="30" t="str">
        <x:f>'MASTER_QUEUE'!A119</x:f>
        <x:v>Everett's Auto Parts</x:v>
      </x:c>
      <x:c r="D63" s="30" t="str">
        <x:f>'MASTER_QUEUE'!D119</x:f>
        <x:v>Brockton</x:v>
      </x:c>
      <x:c r="E63" s="30" t="str">
        <x:f>'MASTER_QUEUE'!K119</x:f>
        <x:v>Employer / Grantee</x:v>
      </x:c>
      <x:c r="F63" s="30" t="str">
        <x:f>'MASTER_QUEUE'!L119</x:f>
        <x:v>MassHire Brockton</x:v>
      </x:c>
      <x:c r="G63" s="30" t="str">
        <x:f>'MASTER_QUEUE'!M119</x:f>
        <x:v>[cite: 56]</x:v>
      </x:c>
      <x:c r="H63" s="30" t="str">
        <x:f>IF('MASTER_QUEUE'!G119="","Recover during research","Provided")</x:f>
        <x:v>Recover during research</x:v>
      </x:c>
      <x:c r="I63" s="30" t="str">
        <x:f>'MASTER_QUEUE'!Y119</x:f>
        <x:v>Not Started</x:v>
      </x:c>
    </x:row>
    <x:row r="64" ht="22" customHeight="1">
      <x:c r="A64" s="96" t="n">
        <x:v>60</x:v>
      </x:c>
      <x:c r="B64" s="96" t="n">
        <x:v>120</x:v>
      </x:c>
      <x:c r="C64" s="30" t="str">
        <x:f>'MASTER_QUEUE'!A120</x:f>
        <x:v>Father Bill's &amp; MainSpring, Inc.</x:v>
      </x:c>
      <x:c r="D64" s="30" t="str">
        <x:f>'MASTER_QUEUE'!D120</x:f>
        <x:v>Brockton</x:v>
      </x:c>
      <x:c r="E64" s="30" t="str">
        <x:f>'MASTER_QUEUE'!K120</x:f>
        <x:v>Employer / Grantee</x:v>
      </x:c>
      <x:c r="F64" s="30" t="str">
        <x:f>'MASTER_QUEUE'!L120</x:f>
        <x:v>MassHire Brockton</x:v>
      </x:c>
      <x:c r="G64" s="30" t="str">
        <x:f>'MASTER_QUEUE'!M120</x:f>
        <x:v>[cite: 56]</x:v>
      </x:c>
      <x:c r="H64" s="30" t="str">
        <x:f>IF('MASTER_QUEUE'!G120="","Recover during research","Provided")</x:f>
        <x:v>Recover during research</x:v>
      </x:c>
      <x:c r="I64" s="30" t="str">
        <x:f>'MASTER_QUEUE'!Y120</x:f>
        <x:v>Not Started</x:v>
      </x:c>
    </x:row>
    <x:row r="65" ht="22" customHeight="1">
      <x:c r="A65" s="96" t="n">
        <x:v>61</x:v>
      </x:c>
      <x:c r="B65" s="96" t="n">
        <x:v>121</x:v>
      </x:c>
      <x:c r="C65" s="30" t="str">
        <x:f>'MASTER_QUEUE'!A121</x:f>
        <x:v>Fullers Collision Center</x:v>
      </x:c>
      <x:c r="D65" s="30" t="str">
        <x:f>'MASTER_QUEUE'!D121</x:f>
        <x:v>Auburn</x:v>
      </x:c>
      <x:c r="E65" s="30" t="str">
        <x:f>'MASTER_QUEUE'!K121</x:f>
        <x:v>Employer / Grantee</x:v>
      </x:c>
      <x:c r="F65" s="30" t="str">
        <x:f>'MASTER_QUEUE'!L121</x:f>
        <x:v>MassHire Central MA</x:v>
      </x:c>
      <x:c r="G65" s="30" t="str">
        <x:f>'MASTER_QUEUE'!M121</x:f>
        <x:v>[cite: 2, 5]</x:v>
      </x:c>
      <x:c r="H65" s="30" t="str">
        <x:f>IF('MASTER_QUEUE'!G121="","Recover during research","Provided")</x:f>
        <x:v>Recover during research</x:v>
      </x:c>
      <x:c r="I65" s="30" t="str">
        <x:f>'MASTER_QUEUE'!Y121</x:f>
        <x:v>Not Started</x:v>
      </x:c>
    </x:row>
    <x:row r="66" ht="22" customHeight="1">
      <x:c r="A66" s="96" t="n">
        <x:v>62</x:v>
      </x:c>
      <x:c r="B66" s="96" t="n">
        <x:v>122</x:v>
      </x:c>
      <x:c r="C66" s="30" t="str">
        <x:f>'MASTER_QUEUE'!A122</x:f>
        <x:v>Global Interconnect</x:v>
      </x:c>
      <x:c r="D66" s="30" t="str">
        <x:f>'MASTER_QUEUE'!D122</x:f>
        <x:v>Pocasset</x:v>
      </x:c>
      <x:c r="E66" s="30" t="str">
        <x:f>'MASTER_QUEUE'!K122</x:f>
        <x:v>Employer / Grantee</x:v>
      </x:c>
      <x:c r="F66" s="30" t="str">
        <x:f>'MASTER_QUEUE'!L122</x:f>
        <x:v>MassHire Cape &amp; Islands</x:v>
      </x:c>
      <x:c r="G66" s="30" t="str">
        <x:f>'MASTER_QUEUE'!M122</x:f>
        <x:v>[cite: 2, 5]</x:v>
      </x:c>
      <x:c r="H66" s="30" t="str">
        <x:f>IF('MASTER_QUEUE'!G122="","Recover during research","Provided")</x:f>
        <x:v>Recover during research</x:v>
      </x:c>
      <x:c r="I66" s="30" t="str">
        <x:f>'MASTER_QUEUE'!Y122</x:f>
        <x:v>Not Started</x:v>
      </x:c>
    </x:row>
    <x:row r="67" ht="22" customHeight="1">
      <x:c r="A67" s="96" t="n">
        <x:v>63</x:v>
      </x:c>
      <x:c r="B67" s="96" t="n">
        <x:v>123</x:v>
      </x:c>
      <x:c r="C67" s="30" t="str">
        <x:f>'MASTER_QUEUE'!A123</x:f>
        <x:v>GreatHorse LLC</x:v>
      </x:c>
      <x:c r="D67" s="30" t="str">
        <x:f>'MASTER_QUEUE'!D123</x:f>
        <x:v>Hampden</x:v>
      </x:c>
      <x:c r="E67" s="30" t="str">
        <x:f>'MASTER_QUEUE'!K123</x:f>
        <x:v>Employer / Grantee</x:v>
      </x:c>
      <x:c r="F67" s="30" t="str">
        <x:f>'MASTER_QUEUE'!L123</x:f>
        <x:v>MassHire Hampden</x:v>
      </x:c>
      <x:c r="G67" s="30" t="str">
        <x:f>'MASTER_QUEUE'!M123</x:f>
        <x:v>[cite: 56]</x:v>
      </x:c>
      <x:c r="H67" s="30" t="str">
        <x:f>IF('MASTER_QUEUE'!G123="","Recover during research","Provided")</x:f>
        <x:v>Recover during research</x:v>
      </x:c>
      <x:c r="I67" s="30" t="str">
        <x:f>'MASTER_QUEUE'!Y123</x:f>
        <x:v>Not Started</x:v>
      </x:c>
    </x:row>
    <x:row r="68" ht="22" customHeight="1">
      <x:c r="A68" s="96" t="n">
        <x:v>64</x:v>
      </x:c>
      <x:c r="B68" s="96" t="n">
        <x:v>124</x:v>
      </x:c>
      <x:c r="C68" s="30" t="str">
        <x:f>'MASTER_QUEUE'!A124</x:f>
        <x:v>Harpak-ULMA Packaging</x:v>
      </x:c>
      <x:c r="D68" s="30" t="str">
        <x:f>'MASTER_QUEUE'!D124</x:f>
        <x:v>Taunton</x:v>
      </x:c>
      <x:c r="E68" s="30" t="str">
        <x:f>'MASTER_QUEUE'!K124</x:f>
        <x:v>Employer / Grantee</x:v>
      </x:c>
      <x:c r="F68" s="30" t="str">
        <x:f>'MASTER_QUEUE'!L124</x:f>
        <x:v>MassHire Bristol County</x:v>
      </x:c>
      <x:c r="G68" s="30" t="str">
        <x:f>'MASTER_QUEUE'!M124</x:f>
        <x:v>[cite: 2, 5]</x:v>
      </x:c>
      <x:c r="H68" s="30" t="str">
        <x:f>IF('MASTER_QUEUE'!G124="","Recover during research","Provided")</x:f>
        <x:v>Recover during research</x:v>
      </x:c>
      <x:c r="I68" s="30" t="str">
        <x:f>'MASTER_QUEUE'!Y124</x:f>
        <x:v>Not Started</x:v>
      </x:c>
    </x:row>
    <x:row r="69" ht="22" customHeight="1">
      <x:c r="A69" s="96" t="n">
        <x:v>65</x:v>
      </x:c>
      <x:c r="B69" s="96" t="n">
        <x:v>125</x:v>
      </x:c>
      <x:c r="C69" s="30" t="str">
        <x:f>'MASTER_QUEUE'!A125</x:f>
        <x:v>Headwall Photonics</x:v>
      </x:c>
      <x:c r="D69" s="30" t="str">
        <x:f>'MASTER_QUEUE'!D125</x:f>
        <x:v>Bolton</x:v>
      </x:c>
      <x:c r="E69" s="30" t="str">
        <x:f>'MASTER_QUEUE'!K125</x:f>
        <x:v>Employer / Grantee</x:v>
      </x:c>
      <x:c r="F69" s="30" t="str">
        <x:f>'MASTER_QUEUE'!L125</x:f>
        <x:v>MassHire Central MA</x:v>
      </x:c>
      <x:c r="G69" s="30" t="str">
        <x:f>'MASTER_QUEUE'!M125</x:f>
        <x:v>[cite: 29, 33]</x:v>
      </x:c>
      <x:c r="H69" s="30" t="str">
        <x:f>IF('MASTER_QUEUE'!G125="","Recover during research","Provided")</x:f>
        <x:v>Recover during research</x:v>
      </x:c>
      <x:c r="I69" s="30" t="str">
        <x:f>'MASTER_QUEUE'!Y125</x:f>
        <x:v>Not Started</x:v>
      </x:c>
    </x:row>
    <x:row r="70" ht="22" customHeight="1">
      <x:c r="A70" s="96" t="n">
        <x:v>66</x:v>
      </x:c>
      <x:c r="B70" s="96" t="n">
        <x:v>126</x:v>
      </x:c>
      <x:c r="C70" s="30" t="str">
        <x:f>'MASTER_QUEUE'!A126</x:f>
        <x:v>Hogan Technology, Inc.</x:v>
      </x:c>
      <x:c r="D70" s="30" t="str">
        <x:f>'MASTER_QUEUE'!D126</x:f>
        <x:v>Easthampton</x:v>
      </x:c>
      <x:c r="E70" s="30" t="str">
        <x:f>'MASTER_QUEUE'!K126</x:f>
        <x:v>Employer / Grantee</x:v>
      </x:c>
      <x:c r="F70" s="30" t="str">
        <x:f>'MASTER_QUEUE'!L126</x:f>
        <x:v>MassHire Hampden</x:v>
      </x:c>
      <x:c r="G70" s="30" t="str">
        <x:f>'MASTER_QUEUE'!M126</x:f>
        <x:v>[cite: 56]</x:v>
      </x:c>
      <x:c r="H70" s="30" t="str">
        <x:f>IF('MASTER_QUEUE'!G126="","Recover during research","Provided")</x:f>
        <x:v>Recover during research</x:v>
      </x:c>
      <x:c r="I70" s="30" t="str">
        <x:f>'MASTER_QUEUE'!Y126</x:f>
        <x:v>Not Started</x:v>
      </x:c>
    </x:row>
    <x:row r="71" ht="22" customHeight="1">
      <x:c r="A71" s="96" t="n">
        <x:v>67</x:v>
      </x:c>
      <x:c r="B71" s="96" t="n">
        <x:v>127</x:v>
      </x:c>
      <x:c r="C71" s="30" t="str">
        <x:f>'MASTER_QUEUE'!A127</x:f>
        <x:v>Hojoko</x:v>
      </x:c>
      <x:c r="D71" s="30" t="str">
        <x:f>'MASTER_QUEUE'!D127</x:f>
        <x:v>Boston</x:v>
      </x:c>
      <x:c r="E71" s="30" t="str">
        <x:f>'MASTER_QUEUE'!K127</x:f>
        <x:v>Employer / Grantee</x:v>
      </x:c>
      <x:c r="F71" s="30" t="str">
        <x:f>'MASTER_QUEUE'!L127</x:f>
        <x:v>MassHire Boston</x:v>
      </x:c>
      <x:c r="G71" s="30" t="str">
        <x:f>'MASTER_QUEUE'!M127</x:f>
        <x:v>[cite: 2, 7]</x:v>
      </x:c>
      <x:c r="H71" s="30" t="str">
        <x:f>IF('MASTER_QUEUE'!G127="","Recover during research","Provided")</x:f>
        <x:v>Recover during research</x:v>
      </x:c>
      <x:c r="I71" s="30" t="str">
        <x:f>'MASTER_QUEUE'!Y127</x:f>
        <x:v>Not Started</x:v>
      </x:c>
    </x:row>
    <x:row r="72" ht="22" customHeight="1">
      <x:c r="A72" s="96" t="n">
        <x:v>68</x:v>
      </x:c>
      <x:c r="B72" s="96" t="n">
        <x:v>128</x:v>
      </x:c>
      <x:c r="C72" s="30" t="str">
        <x:f>'MASTER_QUEUE'!A128</x:f>
        <x:v>Holt &amp; Bugbee</x:v>
      </x:c>
      <x:c r="D72" s="30" t="str">
        <x:f>'MASTER_QUEUE'!D128</x:f>
        <x:v>Tewksbury</x:v>
      </x:c>
      <x:c r="E72" s="30" t="str">
        <x:f>'MASTER_QUEUE'!K128</x:f>
        <x:v>Employer / Grantee</x:v>
      </x:c>
      <x:c r="F72" s="30" t="str">
        <x:f>'MASTER_QUEUE'!L128</x:f>
        <x:v>MassHire Greater Lowell</x:v>
      </x:c>
      <x:c r="G72" s="30" t="str">
        <x:f>'MASTER_QUEUE'!M128</x:f>
        <x:v>[cite: 27]</x:v>
      </x:c>
      <x:c r="H72" s="30" t="str">
        <x:f>IF('MASTER_QUEUE'!G128="","Recover during research","Provided")</x:f>
        <x:v>Recover during research</x:v>
      </x:c>
      <x:c r="I72" s="30" t="str">
        <x:f>'MASTER_QUEUE'!Y128</x:f>
        <x:v>Not Started</x:v>
      </x:c>
    </x:row>
    <x:row r="73" ht="22" customHeight="1">
      <x:c r="A73" s="96" t="n">
        <x:v>69</x:v>
      </x:c>
      <x:c r="B73" s="96" t="n">
        <x:v>129</x:v>
      </x:c>
      <x:c r="C73" s="30" t="str">
        <x:f>'MASTER_QUEUE'!A129</x:f>
        <x:v>Homes For Our Troops</x:v>
      </x:c>
      <x:c r="D73" s="30" t="str">
        <x:f>'MASTER_QUEUE'!D129</x:f>
        <x:v>Taunton</x:v>
      </x:c>
      <x:c r="E73" s="30" t="str">
        <x:f>'MASTER_QUEUE'!K129</x:f>
        <x:v>Employer / Grantee</x:v>
      </x:c>
      <x:c r="F73" s="30" t="str">
        <x:f>'MASTER_QUEUE'!L129</x:f>
        <x:v>MassHire Bristol County</x:v>
      </x:c>
      <x:c r="G73" s="30" t="str">
        <x:f>'MASTER_QUEUE'!M129</x:f>
        <x:v>[cite: 2, 5]</x:v>
      </x:c>
      <x:c r="H73" s="30" t="str">
        <x:f>IF('MASTER_QUEUE'!G129="","Recover during research","Provided")</x:f>
        <x:v>Recover during research</x:v>
      </x:c>
      <x:c r="I73" s="30" t="str">
        <x:f>'MASTER_QUEUE'!Y129</x:f>
        <x:v>Not Started</x:v>
      </x:c>
    </x:row>
    <x:row r="74" ht="22" customHeight="1">
      <x:c r="A74" s="97" t="n">
        <x:v>70</x:v>
      </x:c>
      <x:c r="B74" s="97" t="n">
        <x:v>130</x:v>
      </x:c>
      <x:c r="C74" s="31" t="str">
        <x:f>'MASTER_QUEUE'!A130</x:f>
        <x:v>Howes Temco</x:v>
      </x:c>
      <x:c r="D74" s="31" t="str">
        <x:f>'MASTER_QUEUE'!D130</x:f>
        <x:v>Attleboro</x:v>
      </x:c>
      <x:c r="E74" s="31" t="str">
        <x:f>'MASTER_QUEUE'!K130</x:f>
        <x:v>Employer / Grantee</x:v>
      </x:c>
      <x:c r="F74" s="31" t="str">
        <x:f>'MASTER_QUEUE'!L130</x:f>
        <x:v>MassHire Bristol County</x:v>
      </x:c>
      <x:c r="G74" s="31" t="str">
        <x:f>'MASTER_QUEUE'!M130</x:f>
        <x:v>[cite: 2, 5]</x:v>
      </x:c>
      <x:c r="H74" s="31" t="str">
        <x:f>IF('MASTER_QUEUE'!G130="","Recover during research","Provided")</x:f>
        <x:v>Recover during research</x:v>
      </x:c>
      <x:c r="I74" s="31" t="str">
        <x:f>'MASTER_QUEUE'!Y130</x:f>
        <x:v>Not Started</x:v>
      </x:c>
    </x:row>
  </x:sheetData>
  <x:mergeCells>
    <x:mergeCell ref="A1:I1"/>
    <x:mergeCell ref="A2:I2"/>
  </x:mergeCells>
  <x:conditionalFormatting sqref="H5:H74">
    <x:cfRule type="containsText" dxfId="7" priority="1" operator="containsText" text="Recover"/>
  </x:conditionalFormatting>
  <x:conditionalFormatting sqref="I5:I74">
    <x:cfRule type="containsText" dxfId="8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876eba5951ec4e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36" hidden="0" customWidth="1"/>
    <x:col min="4" max="4" width="17" hidden="0" customWidth="1"/>
    <x:col min="5" max="5" width="24" hidden="0" customWidth="1"/>
    <x:col min="6" max="6" width="27" hidden="0" customWidth="1"/>
    <x:col min="7" max="7" width="21" hidden="0" customWidth="1"/>
    <x:col min="8" max="8" width="23" hidden="0" customWidth="1"/>
    <x:col min="9" max="9" width="18" hidden="0" customWidth="1"/>
  </x:cols>
  <x:sheetData>
    <x:row r="1">
      <x:c r="A1" s="3" t="str">
        <x:v>Skrapp exact queue (50)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7" t="str">
        <x:v>View-only assignment. Enter every research result in MASTER_QUEUE. Respect the free plan's daily company/people search caps.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queueNumber</x:v>
      </x:c>
      <x:c r="B4" s="20" t="str">
        <x:v>masterRow</x:v>
      </x:c>
      <x:c r="C4" s="20" t="str">
        <x:v>company</x:v>
      </x:c>
      <x:c r="D4" s="20" t="str">
        <x:v>city</x:v>
      </x:c>
      <x:c r="E4" s="20" t="str">
        <x:v>sourceCategory</x:v>
      </x:c>
      <x:c r="F4" s="20" t="str">
        <x:v>sourceDetail</x:v>
      </x:c>
      <x:c r="G4" s="20" t="str">
        <x:v>sourceCitation</x:v>
      </x:c>
      <x:c r="H4" s="20" t="str">
        <x:v>sourceUrlStatus</x:v>
      </x:c>
      <x:c r="I4" s="21" t="str">
        <x:v>reviewStatus</x:v>
      </x:c>
    </x:row>
    <x:row r="5" ht="22" customHeight="1">
      <x:c r="A5" s="95" t="n">
        <x:v>1</x:v>
      </x:c>
      <x:c r="B5" s="95" t="n">
        <x:v>131</x:v>
      </x:c>
      <x:c r="C5" s="29" t="str">
        <x:f>'MASTER_QUEUE'!A131</x:f>
        <x:v>Human Systems Integration, Inc.</x:v>
      </x:c>
      <x:c r="D5" s="29" t="str">
        <x:f>'MASTER_QUEUE'!D131</x:f>
        <x:v>East Walpole</x:v>
      </x:c>
      <x:c r="E5" s="29" t="str">
        <x:f>'MASTER_QUEUE'!K131</x:f>
        <x:v>Employer / Grantee</x:v>
      </x:c>
      <x:c r="F5" s="29" t="str">
        <x:f>'MASTER_QUEUE'!L131</x:f>
        <x:v>MassHire Metro South/West</x:v>
      </x:c>
      <x:c r="G5" s="29" t="str">
        <x:f>'MASTER_QUEUE'!M131</x:f>
        <x:v>[cite: 56]</x:v>
      </x:c>
      <x:c r="H5" s="29" t="str">
        <x:f>IF('MASTER_QUEUE'!G131="","Recover during research","Provided")</x:f>
        <x:v>Recover during research</x:v>
      </x:c>
      <x:c r="I5" s="29" t="str">
        <x:f>'MASTER_QUEUE'!Y131</x:f>
        <x:v>Not Started</x:v>
      </x:c>
    </x:row>
    <x:row r="6" ht="22" customHeight="1">
      <x:c r="A6" s="96" t="n">
        <x:v>2</x:v>
      </x:c>
      <x:c r="B6" s="96" t="n">
        <x:v>132</x:v>
      </x:c>
      <x:c r="C6" s="30" t="str">
        <x:f>'MASTER_QUEUE'!A132</x:f>
        <x:v>iCorps Technologies</x:v>
      </x:c>
      <x:c r="D6" s="30" t="str">
        <x:f>'MASTER_QUEUE'!D132</x:f>
        <x:v>Boston</x:v>
      </x:c>
      <x:c r="E6" s="30" t="str">
        <x:f>'MASTER_QUEUE'!K132</x:f>
        <x:v>Employer / Grantee</x:v>
      </x:c>
      <x:c r="F6" s="30" t="str">
        <x:f>'MASTER_QUEUE'!L132</x:f>
        <x:v>MassHire Boston</x:v>
      </x:c>
      <x:c r="G6" s="30" t="str">
        <x:f>'MASTER_QUEUE'!M132</x:f>
        <x:v>[cite: 56]</x:v>
      </x:c>
      <x:c r="H6" s="30" t="str">
        <x:f>IF('MASTER_QUEUE'!G132="","Recover during research","Provided")</x:f>
        <x:v>Recover during research</x:v>
      </x:c>
      <x:c r="I6" s="30" t="str">
        <x:f>'MASTER_QUEUE'!Y132</x:f>
        <x:v>Not Started</x:v>
      </x:c>
    </x:row>
    <x:row r="7" ht="22" customHeight="1">
      <x:c r="A7" s="96" t="n">
        <x:v>3</x:v>
      </x:c>
      <x:c r="B7" s="96" t="n">
        <x:v>133</x:v>
      </x:c>
      <x:c r="C7" s="30" t="str">
        <x:f>'MASTER_QUEUE'!A133</x:f>
        <x:v>Interprint</x:v>
      </x:c>
      <x:c r="D7" s="30" t="str">
        <x:f>'MASTER_QUEUE'!D133</x:f>
        <x:v>Pittsfield</x:v>
      </x:c>
      <x:c r="E7" s="30" t="str">
        <x:f>'MASTER_QUEUE'!K133</x:f>
        <x:v>Employer / Grantee</x:v>
      </x:c>
      <x:c r="F7" s="30" t="str">
        <x:f>'MASTER_QUEUE'!L133</x:f>
        <x:v>MassHire Berkshires</x:v>
      </x:c>
      <x:c r="G7" s="30" t="str">
        <x:f>'MASTER_QUEUE'!M133</x:f>
        <x:v>[cite: 28, 29]</x:v>
      </x:c>
      <x:c r="H7" s="30" t="str">
        <x:f>IF('MASTER_QUEUE'!G133="","Recover during research","Provided")</x:f>
        <x:v>Recover during research</x:v>
      </x:c>
      <x:c r="I7" s="30" t="str">
        <x:f>'MASTER_QUEUE'!Y133</x:f>
        <x:v>Not Started</x:v>
      </x:c>
    </x:row>
    <x:row r="8" ht="22" customHeight="1">
      <x:c r="A8" s="96" t="n">
        <x:v>4</x:v>
      </x:c>
      <x:c r="B8" s="96" t="n">
        <x:v>134</x:v>
      </x:c>
      <x:c r="C8" s="30" t="str">
        <x:f>'MASTER_QUEUE'!A134</x:f>
        <x:v>Ironclad Services</x:v>
      </x:c>
      <x:c r="D8" s="30" t="str">
        <x:f>'MASTER_QUEUE'!D134</x:f>
        <x:v>Springfield</x:v>
      </x:c>
      <x:c r="E8" s="30" t="str">
        <x:f>'MASTER_QUEUE'!K134</x:f>
        <x:v>Employer / Grantee</x:v>
      </x:c>
      <x:c r="F8" s="30" t="str">
        <x:f>'MASTER_QUEUE'!L134</x:f>
        <x:v>MassHire Hampden</x:v>
      </x:c>
      <x:c r="G8" s="30" t="str">
        <x:f>'MASTER_QUEUE'!M134</x:f>
        <x:v>[cite: 27]</x:v>
      </x:c>
      <x:c r="H8" s="30" t="str">
        <x:f>IF('MASTER_QUEUE'!G134="","Recover during research","Provided")</x:f>
        <x:v>Recover during research</x:v>
      </x:c>
      <x:c r="I8" s="30" t="str">
        <x:f>'MASTER_QUEUE'!Y134</x:f>
        <x:v>Not Started</x:v>
      </x:c>
    </x:row>
    <x:row r="9" ht="22" customHeight="1">
      <x:c r="A9" s="96" t="n">
        <x:v>5</x:v>
      </x:c>
      <x:c r="B9" s="96" t="n">
        <x:v>135</x:v>
      </x:c>
      <x:c r="C9" s="30" t="str">
        <x:f>'MASTER_QUEUE'!A135</x:f>
        <x:v>ISlide</x:v>
      </x:c>
      <x:c r="D9" s="30" t="str">
        <x:f>'MASTER_QUEUE'!D135</x:f>
        <x:v>Boston</x:v>
      </x:c>
      <x:c r="E9" s="30" t="str">
        <x:f>'MASTER_QUEUE'!K135</x:f>
        <x:v>Employer / Grantee</x:v>
      </x:c>
      <x:c r="F9" s="30" t="str">
        <x:f>'MASTER_QUEUE'!L135</x:f>
        <x:v>MassHire Boston</x:v>
      </x:c>
      <x:c r="G9" s="30" t="str">
        <x:f>'MASTER_QUEUE'!M135</x:f>
        <x:v>[cite: 2, 5]</x:v>
      </x:c>
      <x:c r="H9" s="30" t="str">
        <x:f>IF('MASTER_QUEUE'!G135="","Recover during research","Provided")</x:f>
        <x:v>Recover during research</x:v>
      </x:c>
      <x:c r="I9" s="30" t="str">
        <x:f>'MASTER_QUEUE'!Y135</x:f>
        <x:v>Not Started</x:v>
      </x:c>
    </x:row>
    <x:row r="10" ht="22" customHeight="1">
      <x:c r="A10" s="96" t="n">
        <x:v>6</x:v>
      </x:c>
      <x:c r="B10" s="96" t="n">
        <x:v>136</x:v>
      </x:c>
      <x:c r="C10" s="30" t="str">
        <x:f>'MASTER_QUEUE'!A136</x:f>
        <x:v>Jefferson Rubber Works</x:v>
      </x:c>
      <x:c r="D10" s="30" t="str">
        <x:f>'MASTER_QUEUE'!D136</x:f>
        <x:v>Worcester</x:v>
      </x:c>
      <x:c r="E10" s="30" t="str">
        <x:f>'MASTER_QUEUE'!K136</x:f>
        <x:v>Employer / Grantee</x:v>
      </x:c>
      <x:c r="F10" s="30" t="str">
        <x:f>'MASTER_QUEUE'!L136</x:f>
        <x:v>MassHire Central MA</x:v>
      </x:c>
      <x:c r="G10" s="30" t="str">
        <x:f>'MASTER_QUEUE'!M136</x:f>
        <x:v>[cite: 27]</x:v>
      </x:c>
      <x:c r="H10" s="30" t="str">
        <x:f>IF('MASTER_QUEUE'!G136="","Recover during research","Provided")</x:f>
        <x:v>Recover during research</x:v>
      </x:c>
      <x:c r="I10" s="30" t="str">
        <x:f>'MASTER_QUEUE'!Y136</x:f>
        <x:v>Not Started</x:v>
      </x:c>
    </x:row>
    <x:row r="11" ht="22" customHeight="1">
      <x:c r="A11" s="96" t="n">
        <x:v>7</x:v>
      </x:c>
      <x:c r="B11" s="96" t="n">
        <x:v>137</x:v>
      </x:c>
      <x:c r="C11" s="30" t="str">
        <x:f>'MASTER_QUEUE'!A137</x:f>
        <x:v>Jeffco Fibres</x:v>
      </x:c>
      <x:c r="D11" s="30" t="str">
        <x:f>'MASTER_QUEUE'!D137</x:f>
        <x:v>Webster</x:v>
      </x:c>
      <x:c r="E11" s="30" t="str">
        <x:f>'MASTER_QUEUE'!K137</x:f>
        <x:v>Employer / Grantee</x:v>
      </x:c>
      <x:c r="F11" s="30" t="str">
        <x:f>'MASTER_QUEUE'!L137</x:f>
        <x:v>MassHire Central MA</x:v>
      </x:c>
      <x:c r="G11" s="30" t="str">
        <x:f>'MASTER_QUEUE'!M137</x:f>
        <x:v>[cite: 29]</x:v>
      </x:c>
      <x:c r="H11" s="30" t="str">
        <x:f>IF('MASTER_QUEUE'!G137="","Recover during research","Provided")</x:f>
        <x:v>Recover during research</x:v>
      </x:c>
      <x:c r="I11" s="30" t="str">
        <x:f>'MASTER_QUEUE'!Y137</x:f>
        <x:v>Not Started</x:v>
      </x:c>
    </x:row>
    <x:row r="12" ht="22" customHeight="1">
      <x:c r="A12" s="96" t="n">
        <x:v>8</x:v>
      </x:c>
      <x:c r="B12" s="96" t="n">
        <x:v>138</x:v>
      </x:c>
      <x:c r="C12" s="30" t="str">
        <x:f>'MASTER_QUEUE'!A138</x:f>
        <x:v>JEM Electronics, Inc.</x:v>
      </x:c>
      <x:c r="D12" s="30" t="str">
        <x:f>'MASTER_QUEUE'!D138</x:f>
        <x:v>Worcester</x:v>
      </x:c>
      <x:c r="E12" s="30" t="str">
        <x:f>'MASTER_QUEUE'!K138</x:f>
        <x:v>Employer / Grantee</x:v>
      </x:c>
      <x:c r="F12" s="30" t="str">
        <x:f>'MASTER_QUEUE'!L138</x:f>
        <x:v>MassHire Central MA</x:v>
      </x:c>
      <x:c r="G12" s="30" t="str">
        <x:f>'MASTER_QUEUE'!M138</x:f>
        <x:v>[cite: 56]</x:v>
      </x:c>
      <x:c r="H12" s="30" t="str">
        <x:f>IF('MASTER_QUEUE'!G138="","Recover during research","Provided")</x:f>
        <x:v>Recover during research</x:v>
      </x:c>
      <x:c r="I12" s="30" t="str">
        <x:f>'MASTER_QUEUE'!Y138</x:f>
        <x:v>Not Started</x:v>
      </x:c>
    </x:row>
    <x:row r="13" ht="22" customHeight="1">
      <x:c r="A13" s="96" t="n">
        <x:v>9</x:v>
      </x:c>
      <x:c r="B13" s="96" t="n">
        <x:v>139</x:v>
      </x:c>
      <x:c r="C13" s="30" t="str">
        <x:f>'MASTER_QUEUE'!A139</x:f>
        <x:v>Jordan's Furniture</x:v>
      </x:c>
      <x:c r="D13" s="30" t="str">
        <x:f>'MASTER_QUEUE'!D139</x:f>
        <x:v>Taunton</x:v>
      </x:c>
      <x:c r="E13" s="30" t="str">
        <x:f>'MASTER_QUEUE'!K139</x:f>
        <x:v>Employer / Grantee</x:v>
      </x:c>
      <x:c r="F13" s="30" t="str">
        <x:f>'MASTER_QUEUE'!L139</x:f>
        <x:v>MassHire Bristol County</x:v>
      </x:c>
      <x:c r="G13" s="30" t="str">
        <x:f>'MASTER_QUEUE'!M139</x:f>
        <x:v>[cite: 2, 5]</x:v>
      </x:c>
      <x:c r="H13" s="30" t="str">
        <x:f>IF('MASTER_QUEUE'!G139="","Recover during research","Provided")</x:f>
        <x:v>Recover during research</x:v>
      </x:c>
      <x:c r="I13" s="30" t="str">
        <x:f>'MASTER_QUEUE'!Y139</x:f>
        <x:v>Not Started</x:v>
      </x:c>
    </x:row>
    <x:row r="14" ht="22" customHeight="1">
      <x:c r="A14" s="96" t="n">
        <x:v>10</x:v>
      </x:c>
      <x:c r="B14" s="96" t="n">
        <x:v>140</x:v>
      </x:c>
      <x:c r="C14" s="30" t="str">
        <x:f>'MASTER_QUEUE'!A140</x:f>
        <x:v>Kadant</x:v>
      </x:c>
      <x:c r="D14" s="30" t="str">
        <x:f>'MASTER_QUEUE'!D140</x:f>
        <x:v>Auburn</x:v>
      </x:c>
      <x:c r="E14" s="30" t="str">
        <x:f>'MASTER_QUEUE'!K140</x:f>
        <x:v>Employer / Grantee</x:v>
      </x:c>
      <x:c r="F14" s="30" t="str">
        <x:f>'MASTER_QUEUE'!L140</x:f>
        <x:v>MassHire Central MA</x:v>
      </x:c>
      <x:c r="G14" s="30" t="str">
        <x:f>'MASTER_QUEUE'!M140</x:f>
        <x:v>[cite: 29, 33]</x:v>
      </x:c>
      <x:c r="H14" s="30" t="str">
        <x:f>IF('MASTER_QUEUE'!G140="","Recover during research","Provided")</x:f>
        <x:v>Recover during research</x:v>
      </x:c>
      <x:c r="I14" s="30" t="str">
        <x:f>'MASTER_QUEUE'!Y140</x:f>
        <x:v>Not Started</x:v>
      </x:c>
    </x:row>
    <x:row r="15" ht="22" customHeight="1">
      <x:c r="A15" s="96" t="n">
        <x:v>11</x:v>
      </x:c>
      <x:c r="B15" s="96" t="n">
        <x:v>141</x:v>
      </x:c>
      <x:c r="C15" s="30" t="str">
        <x:f>'MASTER_QUEUE'!A141</x:f>
        <x:v>Kaloutas &amp; Co</x:v>
      </x:c>
      <x:c r="D15" s="30" t="str">
        <x:f>'MASTER_QUEUE'!D141</x:f>
        <x:v>Peabody</x:v>
      </x:c>
      <x:c r="E15" s="30" t="str">
        <x:f>'MASTER_QUEUE'!K141</x:f>
        <x:v>Employer / Grantee</x:v>
      </x:c>
      <x:c r="F15" s="30" t="str">
        <x:f>'MASTER_QUEUE'!L141</x:f>
        <x:v>MassHire North Shore</x:v>
      </x:c>
      <x:c r="G15" s="30" t="str">
        <x:f>'MASTER_QUEUE'!M141</x:f>
        <x:v>[cite: 29]</x:v>
      </x:c>
      <x:c r="H15" s="30" t="str">
        <x:f>IF('MASTER_QUEUE'!G141="","Recover during research","Provided")</x:f>
        <x:v>Recover during research</x:v>
      </x:c>
      <x:c r="I15" s="30" t="str">
        <x:f>'MASTER_QUEUE'!Y141</x:f>
        <x:v>Not Started</x:v>
      </x:c>
    </x:row>
    <x:row r="16" ht="22" customHeight="1">
      <x:c r="A16" s="96" t="n">
        <x:v>12</x:v>
      </x:c>
      <x:c r="B16" s="96" t="n">
        <x:v>142</x:v>
      </x:c>
      <x:c r="C16" s="30" t="str">
        <x:f>'MASTER_QUEUE'!A142</x:f>
        <x:v>KARL STORZ Endovision</x:v>
      </x:c>
      <x:c r="D16" s="30" t="str">
        <x:f>'MASTER_QUEUE'!D142</x:f>
        <x:v>Charlton</x:v>
      </x:c>
      <x:c r="E16" s="30" t="str">
        <x:f>'MASTER_QUEUE'!K142</x:f>
        <x:v>Employer / Grantee</x:v>
      </x:c>
      <x:c r="F16" s="30" t="str">
        <x:f>'MASTER_QUEUE'!L142</x:f>
        <x:v>MassHire Central MA</x:v>
      </x:c>
      <x:c r="G16" s="30" t="str">
        <x:f>'MASTER_QUEUE'!M142</x:f>
        <x:v>[cite: 29, 33]</x:v>
      </x:c>
      <x:c r="H16" s="30" t="str">
        <x:f>IF('MASTER_QUEUE'!G142="","Recover during research","Provided")</x:f>
        <x:v>Recover during research</x:v>
      </x:c>
      <x:c r="I16" s="30" t="str">
        <x:f>'MASTER_QUEUE'!Y142</x:f>
        <x:v>Not Started</x:v>
      </x:c>
    </x:row>
    <x:row r="17" ht="22" customHeight="1">
      <x:c r="A17" s="96" t="n">
        <x:v>13</x:v>
      </x:c>
      <x:c r="B17" s="96" t="n">
        <x:v>143</x:v>
      </x:c>
      <x:c r="C17" s="30" t="str">
        <x:f>'MASTER_QUEUE'!A143</x:f>
        <x:v>Keurig Green Mountain</x:v>
      </x:c>
      <x:c r="D17" s="30" t="str">
        <x:f>'MASTER_QUEUE'!D143</x:f>
        <x:v>Burlington</x:v>
      </x:c>
      <x:c r="E17" s="30" t="str">
        <x:f>'MASTER_QUEUE'!K143</x:f>
        <x:v>Employer / Grantee</x:v>
      </x:c>
      <x:c r="F17" s="30" t="str">
        <x:f>'MASTER_QUEUE'!L143</x:f>
        <x:v>MassHire Metro North</x:v>
      </x:c>
      <x:c r="G17" s="30" t="str">
        <x:f>'MASTER_QUEUE'!M143</x:f>
        <x:v>[cite: 56]</x:v>
      </x:c>
      <x:c r="H17" s="30" t="str">
        <x:f>IF('MASTER_QUEUE'!G143="","Recover during research","Provided")</x:f>
        <x:v>Recover during research</x:v>
      </x:c>
      <x:c r="I17" s="30" t="str">
        <x:f>'MASTER_QUEUE'!Y143</x:f>
        <x:v>Not Started</x:v>
      </x:c>
    </x:row>
    <x:row r="18" ht="22" customHeight="1">
      <x:c r="A18" s="96" t="n">
        <x:v>14</x:v>
      </x:c>
      <x:c r="B18" s="96" t="n">
        <x:v>144</x:v>
      </x:c>
      <x:c r="C18" s="30" t="str">
        <x:f>'MASTER_QUEUE'!A144</x:f>
        <x:v>Kidde-Fenwal</x:v>
      </x:c>
      <x:c r="D18" s="30" t="str">
        <x:f>'MASTER_QUEUE'!D144</x:f>
        <x:v>Ashland</x:v>
      </x:c>
      <x:c r="E18" s="30" t="str">
        <x:f>'MASTER_QUEUE'!K144</x:f>
        <x:v>Employer / Grantee</x:v>
      </x:c>
      <x:c r="F18" s="30" t="str">
        <x:f>'MASTER_QUEUE'!L144</x:f>
        <x:v>MassHire Metro South/West</x:v>
      </x:c>
      <x:c r="G18" s="30" t="str">
        <x:f>'MASTER_QUEUE'!M144</x:f>
        <x:v>[cite: 5]</x:v>
      </x:c>
      <x:c r="H18" s="30" t="str">
        <x:f>IF('MASTER_QUEUE'!G144="","Recover during research","Provided")</x:f>
        <x:v>Recover during research</x:v>
      </x:c>
      <x:c r="I18" s="30" t="str">
        <x:f>'MASTER_QUEUE'!Y144</x:f>
        <x:v>Not Started</x:v>
      </x:c>
    </x:row>
    <x:row r="19" ht="22" customHeight="1">
      <x:c r="A19" s="96" t="n">
        <x:v>15</x:v>
      </x:c>
      <x:c r="B19" s="96" t="n">
        <x:v>145</x:v>
      </x:c>
      <x:c r="C19" s="30" t="str">
        <x:f>'MASTER_QUEUE'!A145</x:f>
        <x:v>Kirkwood Printing Company</x:v>
      </x:c>
      <x:c r="D19" s="30" t="str">
        <x:f>'MASTER_QUEUE'!D145</x:f>
        <x:v>Wilmington</x:v>
      </x:c>
      <x:c r="E19" s="30" t="str">
        <x:f>'MASTER_QUEUE'!K145</x:f>
        <x:v>Employer / Grantee</x:v>
      </x:c>
      <x:c r="F19" s="30" t="str">
        <x:f>'MASTER_QUEUE'!L145</x:f>
        <x:v>MassHire Metro North</x:v>
      </x:c>
      <x:c r="G19" s="30" t="str">
        <x:f>'MASTER_QUEUE'!M145</x:f>
        <x:v>[cite: 45]</x:v>
      </x:c>
      <x:c r="H19" s="30" t="str">
        <x:f>IF('MASTER_QUEUE'!G145="","Recover during research","Provided")</x:f>
        <x:v>Recover during research</x:v>
      </x:c>
      <x:c r="I19" s="30" t="str">
        <x:f>'MASTER_QUEUE'!Y145</x:f>
        <x:v>Not Started</x:v>
      </x:c>
    </x:row>
    <x:row r="20" ht="22" customHeight="1">
      <x:c r="A20" s="96" t="n">
        <x:v>16</x:v>
      </x:c>
      <x:c r="B20" s="96" t="n">
        <x:v>146</x:v>
      </x:c>
      <x:c r="C20" s="30" t="str">
        <x:f>'MASTER_QUEUE'!A146</x:f>
        <x:v>Landry's Bicycles</x:v>
      </x:c>
      <x:c r="D20" s="30" t="str">
        <x:f>'MASTER_QUEUE'!D146</x:f>
        <x:v>Natick</x:v>
      </x:c>
      <x:c r="E20" s="30" t="str">
        <x:f>'MASTER_QUEUE'!K146</x:f>
        <x:v>Employer / Grantee</x:v>
      </x:c>
      <x:c r="F20" s="30" t="str">
        <x:f>'MASTER_QUEUE'!L146</x:f>
        <x:v>MassHire Metro South/West</x:v>
      </x:c>
      <x:c r="G20" s="30" t="str">
        <x:f>'MASTER_QUEUE'!M146</x:f>
        <x:v>[cite: 29]</x:v>
      </x:c>
      <x:c r="H20" s="30" t="str">
        <x:f>IF('MASTER_QUEUE'!G146="","Recover during research","Provided")</x:f>
        <x:v>Recover during research</x:v>
      </x:c>
      <x:c r="I20" s="30" t="str">
        <x:f>'MASTER_QUEUE'!Y146</x:f>
        <x:v>Not Started</x:v>
      </x:c>
    </x:row>
    <x:row r="21" ht="22" customHeight="1">
      <x:c r="A21" s="96" t="n">
        <x:v>17</x:v>
      </x:c>
      <x:c r="B21" s="96" t="n">
        <x:v>147</x:v>
      </x:c>
      <x:c r="C21" s="30" t="str">
        <x:f>'MASTER_QUEUE'!A147</x:f>
        <x:v>Larson Tool &amp; Stamping Company</x:v>
      </x:c>
      <x:c r="D21" s="30" t="str">
        <x:f>'MASTER_QUEUE'!D147</x:f>
        <x:v>Attleboro</x:v>
      </x:c>
      <x:c r="E21" s="30" t="str">
        <x:f>'MASTER_QUEUE'!K147</x:f>
        <x:v>Employer / Grantee</x:v>
      </x:c>
      <x:c r="F21" s="30" t="str">
        <x:f>'MASTER_QUEUE'!L147</x:f>
        <x:v>MassHire Bristol County</x:v>
      </x:c>
      <x:c r="G21" s="30" t="str">
        <x:f>'MASTER_QUEUE'!M147</x:f>
        <x:v>[cite: 56]</x:v>
      </x:c>
      <x:c r="H21" s="30" t="str">
        <x:f>IF('MASTER_QUEUE'!G147="","Recover during research","Provided")</x:f>
        <x:v>Recover during research</x:v>
      </x:c>
      <x:c r="I21" s="30" t="str">
        <x:f>'MASTER_QUEUE'!Y147</x:f>
        <x:v>Not Started</x:v>
      </x:c>
    </x:row>
    <x:row r="22" ht="22" customHeight="1">
      <x:c r="A22" s="96" t="n">
        <x:v>18</x:v>
      </x:c>
      <x:c r="B22" s="96" t="n">
        <x:v>148</x:v>
      </x:c>
      <x:c r="C22" s="30" t="str">
        <x:f>'MASTER_QUEUE'!A148</x:f>
        <x:v>Lenco Armored Vehicles</x:v>
      </x:c>
      <x:c r="D22" s="30" t="str">
        <x:f>'MASTER_QUEUE'!D148</x:f>
        <x:v>Pittsfield</x:v>
      </x:c>
      <x:c r="E22" s="30" t="str">
        <x:f>'MASTER_QUEUE'!K148</x:f>
        <x:v>Employer / Grantee</x:v>
      </x:c>
      <x:c r="F22" s="30" t="str">
        <x:f>'MASTER_QUEUE'!L148</x:f>
        <x:v>MassHire Berkshires</x:v>
      </x:c>
      <x:c r="G22" s="30" t="str">
        <x:f>'MASTER_QUEUE'!M148</x:f>
        <x:v>[cite: 27]</x:v>
      </x:c>
      <x:c r="H22" s="30" t="str">
        <x:f>IF('MASTER_QUEUE'!G148="","Recover during research","Provided")</x:f>
        <x:v>Recover during research</x:v>
      </x:c>
      <x:c r="I22" s="30" t="str">
        <x:f>'MASTER_QUEUE'!Y148</x:f>
        <x:v>Not Started</x:v>
      </x:c>
    </x:row>
    <x:row r="23" ht="22" customHeight="1">
      <x:c r="A23" s="96" t="n">
        <x:v>19</x:v>
      </x:c>
      <x:c r="B23" s="96" t="n">
        <x:v>149</x:v>
      </x:c>
      <x:c r="C23" s="30" t="str">
        <x:f>'MASTER_QUEUE'!A149</x:f>
        <x:v>LEONI Wire Inc</x:v>
      </x:c>
      <x:c r="D23" s="30" t="str">
        <x:f>'MASTER_QUEUE'!D149</x:f>
        <x:v>Chicopee</x:v>
      </x:c>
      <x:c r="E23" s="30" t="str">
        <x:f>'MASTER_QUEUE'!K149</x:f>
        <x:v>Employer / Grantee</x:v>
      </x:c>
      <x:c r="F23" s="30" t="str">
        <x:f>'MASTER_QUEUE'!L149</x:f>
        <x:v>MassHire Hampden</x:v>
      </x:c>
      <x:c r="G23" s="30" t="str">
        <x:f>'MASTER_QUEUE'!M149</x:f>
        <x:v>[cite: 56]</x:v>
      </x:c>
      <x:c r="H23" s="30" t="str">
        <x:f>IF('MASTER_QUEUE'!G149="","Recover during research","Provided")</x:f>
        <x:v>Recover during research</x:v>
      </x:c>
      <x:c r="I23" s="30" t="str">
        <x:f>'MASTER_QUEUE'!Y149</x:f>
        <x:v>Not Started</x:v>
      </x:c>
    </x:row>
    <x:row r="24" ht="22" customHeight="1">
      <x:c r="A24" s="96" t="n">
        <x:v>20</x:v>
      </x:c>
      <x:c r="B24" s="96" t="n">
        <x:v>150</x:v>
      </x:c>
      <x:c r="C24" s="30" t="str">
        <x:f>'MASTER_QUEUE'!A150</x:f>
        <x:v>Little Leaf Farms</x:v>
      </x:c>
      <x:c r="D24" s="30" t="str">
        <x:f>'MASTER_QUEUE'!D150</x:f>
        <x:v>Devens</x:v>
      </x:c>
      <x:c r="E24" s="30" t="str">
        <x:f>'MASTER_QUEUE'!K150</x:f>
        <x:v>Employer / Grantee</x:v>
      </x:c>
      <x:c r="F24" s="30" t="str">
        <x:f>'MASTER_QUEUE'!L150</x:f>
        <x:v>MassHire Central MA</x:v>
      </x:c>
      <x:c r="G24" s="30" t="str">
        <x:f>'MASTER_QUEUE'!M150</x:f>
        <x:v>[cite: 5]</x:v>
      </x:c>
      <x:c r="H24" s="30" t="str">
        <x:f>IF('MASTER_QUEUE'!G150="","Recover during research","Provided")</x:f>
        <x:v>Recover during research</x:v>
      </x:c>
      <x:c r="I24" s="30" t="str">
        <x:f>'MASTER_QUEUE'!Y150</x:f>
        <x:v>Not Started</x:v>
      </x:c>
    </x:row>
    <x:row r="25" ht="22" customHeight="1">
      <x:c r="A25" s="96" t="n">
        <x:v>21</x:v>
      </x:c>
      <x:c r="B25" s="96" t="n">
        <x:v>151</x:v>
      </x:c>
      <x:c r="C25" s="30" t="str">
        <x:f>'MASTER_QUEUE'!A151</x:f>
        <x:v>Llumin</x:v>
      </x:c>
      <x:c r="D25" s="30" t="str">
        <x:f>'MASTER_QUEUE'!D151</x:f>
        <x:v>Springfield</x:v>
      </x:c>
      <x:c r="E25" s="30" t="str">
        <x:f>'MASTER_QUEUE'!K151</x:f>
        <x:v>Employer / Grantee</x:v>
      </x:c>
      <x:c r="F25" s="30" t="str">
        <x:f>'MASTER_QUEUE'!L151</x:f>
        <x:v>MassHire Hampden</x:v>
      </x:c>
      <x:c r="G25" s="30" t="str">
        <x:f>'MASTER_QUEUE'!M151</x:f>
        <x:v>[cite: 29]</x:v>
      </x:c>
      <x:c r="H25" s="30" t="str">
        <x:f>IF('MASTER_QUEUE'!G151="","Recover during research","Provided")</x:f>
        <x:v>Recover during research</x:v>
      </x:c>
      <x:c r="I25" s="30" t="str">
        <x:f>'MASTER_QUEUE'!Y151</x:f>
        <x:v>Not Started</x:v>
      </x:c>
    </x:row>
    <x:row r="26" ht="22" customHeight="1">
      <x:c r="A26" s="96" t="n">
        <x:v>22</x:v>
      </x:c>
      <x:c r="B26" s="96" t="n">
        <x:v>152</x:v>
      </x:c>
      <x:c r="C26" s="30" t="str">
        <x:f>'MASTER_QUEUE'!A152</x:f>
        <x:v>LSF Quality Control Center</x:v>
      </x:c>
      <x:c r="D26" s="30" t="str">
        <x:f>'MASTER_QUEUE'!D152</x:f>
        <x:v>Boston</x:v>
      </x:c>
      <x:c r="E26" s="30" t="str">
        <x:f>'MASTER_QUEUE'!K152</x:f>
        <x:v>Employer / Grantee</x:v>
      </x:c>
      <x:c r="F26" s="30" t="str">
        <x:f>'MASTER_QUEUE'!L152</x:f>
        <x:v>MassHire Boston</x:v>
      </x:c>
      <x:c r="G26" s="30" t="str">
        <x:f>'MASTER_QUEUE'!M152</x:f>
        <x:v>[cite: 2, 5]</x:v>
      </x:c>
      <x:c r="H26" s="30" t="str">
        <x:f>IF('MASTER_QUEUE'!G152="","Recover during research","Provided")</x:f>
        <x:v>Recover during research</x:v>
      </x:c>
      <x:c r="I26" s="30" t="str">
        <x:f>'MASTER_QUEUE'!Y152</x:f>
        <x:v>Not Started</x:v>
      </x:c>
    </x:row>
    <x:row r="27" ht="22" customHeight="1">
      <x:c r="A27" s="96" t="n">
        <x:v>23</x:v>
      </x:c>
      <x:c r="B27" s="96" t="n">
        <x:v>153</x:v>
      </x:c>
      <x:c r="C27" s="30" t="str">
        <x:f>'MASTER_QUEUE'!A153</x:f>
        <x:v>Lyndra Therapeutics</x:v>
      </x:c>
      <x:c r="D27" s="30" t="str">
        <x:f>'MASTER_QUEUE'!D153</x:f>
        <x:v>Watertown</x:v>
      </x:c>
      <x:c r="E27" s="30" t="str">
        <x:f>'MASTER_QUEUE'!K153</x:f>
        <x:v>Employer / Grantee</x:v>
      </x:c>
      <x:c r="F27" s="30" t="str">
        <x:f>'MASTER_QUEUE'!L153</x:f>
        <x:v>MassHire Metro North</x:v>
      </x:c>
      <x:c r="G27" s="30" t="str">
        <x:f>'MASTER_QUEUE'!M153</x:f>
        <x:v>[cite: 28, 29]</x:v>
      </x:c>
      <x:c r="H27" s="30" t="str">
        <x:f>IF('MASTER_QUEUE'!G153="","Recover during research","Provided")</x:f>
        <x:v>Recover during research</x:v>
      </x:c>
      <x:c r="I27" s="30" t="str">
        <x:f>'MASTER_QUEUE'!Y153</x:f>
        <x:v>Not Started</x:v>
      </x:c>
    </x:row>
    <x:row r="28" ht="22" customHeight="1">
      <x:c r="A28" s="96" t="n">
        <x:v>24</x:v>
      </x:c>
      <x:c r="B28" s="96" t="n">
        <x:v>154</x:v>
      </x:c>
      <x:c r="C28" s="30" t="str">
        <x:f>'MASTER_QUEUE'!A154</x:f>
        <x:v>Main Street Bank</x:v>
      </x:c>
      <x:c r="D28" s="30" t="str">
        <x:f>'MASTER_QUEUE'!D154</x:f>
        <x:v>Marlborough</x:v>
      </x:c>
      <x:c r="E28" s="30" t="str">
        <x:f>'MASTER_QUEUE'!K154</x:f>
        <x:v>Employer / Grantee</x:v>
      </x:c>
      <x:c r="F28" s="30" t="str">
        <x:f>'MASTER_QUEUE'!L154</x:f>
        <x:v>MassHire Metro South/West</x:v>
      </x:c>
      <x:c r="G28" s="30" t="str">
        <x:f>'MASTER_QUEUE'!M154</x:f>
        <x:v>[cite: 5]</x:v>
      </x:c>
      <x:c r="H28" s="30" t="str">
        <x:f>IF('MASTER_QUEUE'!G154="","Recover during research","Provided")</x:f>
        <x:v>Recover during research</x:v>
      </x:c>
      <x:c r="I28" s="30" t="str">
        <x:f>'MASTER_QUEUE'!Y154</x:f>
        <x:v>Not Started</x:v>
      </x:c>
    </x:row>
    <x:row r="29" ht="22" customHeight="1">
      <x:c r="A29" s="96" t="n">
        <x:v>25</x:v>
      </x:c>
      <x:c r="B29" s="96" t="n">
        <x:v>155</x:v>
      </x:c>
      <x:c r="C29" s="30" t="str">
        <x:f>'MASTER_QUEUE'!A155</x:f>
        <x:v>Manny's Appliances, Inc</x:v>
      </x:c>
      <x:c r="D29" s="30" t="str">
        <x:f>'MASTER_QUEUE'!D155</x:f>
        <x:v>Greenfield</x:v>
      </x:c>
      <x:c r="E29" s="30" t="str">
        <x:f>'MASTER_QUEUE'!K155</x:f>
        <x:v>Employer / Grantee</x:v>
      </x:c>
      <x:c r="F29" s="30" t="str">
        <x:f>'MASTER_QUEUE'!L155</x:f>
        <x:v>MassHire Franklin/Hampshire</x:v>
      </x:c>
      <x:c r="G29" s="30" t="str">
        <x:f>'MASTER_QUEUE'!M155</x:f>
        <x:v>[cite: 27]</x:v>
      </x:c>
      <x:c r="H29" s="30" t="str">
        <x:f>IF('MASTER_QUEUE'!G155="","Recover during research","Provided")</x:f>
        <x:v>Recover during research</x:v>
      </x:c>
      <x:c r="I29" s="30" t="str">
        <x:f>'MASTER_QUEUE'!Y155</x:f>
        <x:v>Not Started</x:v>
      </x:c>
    </x:row>
    <x:row r="30" ht="22" customHeight="1">
      <x:c r="A30" s="96" t="n">
        <x:v>26</x:v>
      </x:c>
      <x:c r="B30" s="96" t="n">
        <x:v>156</x:v>
      </x:c>
      <x:c r="C30" s="30" t="str">
        <x:f>'MASTER_QUEUE'!A156</x:f>
        <x:v>MASS MoCA</x:v>
      </x:c>
      <x:c r="D30" s="30" t="str">
        <x:f>'MASTER_QUEUE'!D156</x:f>
        <x:v>North Adams</x:v>
      </x:c>
      <x:c r="E30" s="30" t="str">
        <x:f>'MASTER_QUEUE'!K156</x:f>
        <x:v>Employer / Grantee</x:v>
      </x:c>
      <x:c r="F30" s="30" t="str">
        <x:f>'MASTER_QUEUE'!L156</x:f>
        <x:v>MassHire Berkshires</x:v>
      </x:c>
      <x:c r="G30" s="30" t="str">
        <x:f>'MASTER_QUEUE'!M156</x:f>
        <x:v>[cite: 2]</x:v>
      </x:c>
      <x:c r="H30" s="30" t="str">
        <x:f>IF('MASTER_QUEUE'!G156="","Recover during research","Provided")</x:f>
        <x:v>Recover during research</x:v>
      </x:c>
      <x:c r="I30" s="30" t="str">
        <x:f>'MASTER_QUEUE'!Y156</x:f>
        <x:v>Not Started</x:v>
      </x:c>
    </x:row>
    <x:row r="31" ht="22" customHeight="1">
      <x:c r="A31" s="96" t="n">
        <x:v>27</x:v>
      </x:c>
      <x:c r="B31" s="96" t="n">
        <x:v>157</x:v>
      </x:c>
      <x:c r="C31" s="30" t="str">
        <x:f>'MASTER_QUEUE'!A157</x:f>
        <x:v>Materion Precision Optics &amp; Thin Film</x:v>
      </x:c>
      <x:c r="D31" s="30" t="str">
        <x:f>'MASTER_QUEUE'!D157</x:f>
        <x:v>Westford</x:v>
      </x:c>
      <x:c r="E31" s="30" t="str">
        <x:f>'MASTER_QUEUE'!K157</x:f>
        <x:v>Employer / Grantee</x:v>
      </x:c>
      <x:c r="F31" s="30" t="str">
        <x:f>'MASTER_QUEUE'!L157</x:f>
        <x:v>MassHire Greater Lowell</x:v>
      </x:c>
      <x:c r="G31" s="30" t="str">
        <x:f>'MASTER_QUEUE'!M157</x:f>
        <x:v>[cite: 27]</x:v>
      </x:c>
      <x:c r="H31" s="30" t="str">
        <x:f>IF('MASTER_QUEUE'!G157="","Recover during research","Provided")</x:f>
        <x:v>Recover during research</x:v>
      </x:c>
      <x:c r="I31" s="30" t="str">
        <x:f>'MASTER_QUEUE'!Y157</x:f>
        <x:v>Not Started</x:v>
      </x:c>
    </x:row>
    <x:row r="32" ht="22" customHeight="1">
      <x:c r="A32" s="96" t="n">
        <x:v>28</x:v>
      </x:c>
      <x:c r="B32" s="96" t="n">
        <x:v>158</x:v>
      </x:c>
      <x:c r="C32" s="30" t="str">
        <x:f>'MASTER_QUEUE'!A158</x:f>
        <x:v>Matouk Textile Works</x:v>
      </x:c>
      <x:c r="D32" s="30" t="str">
        <x:f>'MASTER_QUEUE'!D158</x:f>
        <x:v>Fall River</x:v>
      </x:c>
      <x:c r="E32" s="30" t="str">
        <x:f>'MASTER_QUEUE'!K158</x:f>
        <x:v>Employer / Grantee</x:v>
      </x:c>
      <x:c r="F32" s="30" t="str">
        <x:f>'MASTER_QUEUE'!L158</x:f>
        <x:v>MassHire Bristol County</x:v>
      </x:c>
      <x:c r="G32" s="30" t="str">
        <x:f>'MASTER_QUEUE'!M158</x:f>
        <x:v>[cite: 28]</x:v>
      </x:c>
      <x:c r="H32" s="30" t="str">
        <x:f>IF('MASTER_QUEUE'!G158="","Recover during research","Provided")</x:f>
        <x:v>Recover during research</x:v>
      </x:c>
      <x:c r="I32" s="30" t="str">
        <x:f>'MASTER_QUEUE'!Y158</x:f>
        <x:v>Not Started</x:v>
      </x:c>
    </x:row>
    <x:row r="33" ht="22" customHeight="1">
      <x:c r="A33" s="96" t="n">
        <x:v>29</x:v>
      </x:c>
      <x:c r="B33" s="96" t="n">
        <x:v>159</x:v>
      </x:c>
      <x:c r="C33" s="30" t="str">
        <x:f>'MASTER_QUEUE'!A159</x:f>
        <x:v>Maugel Architects, Inc.</x:v>
      </x:c>
      <x:c r="D33" s="30" t="str">
        <x:f>'MASTER_QUEUE'!D159</x:f>
        <x:v>Harvard</x:v>
      </x:c>
      <x:c r="E33" s="30" t="str">
        <x:f>'MASTER_QUEUE'!K159</x:f>
        <x:v>Employer / Grantee</x:v>
      </x:c>
      <x:c r="F33" s="30" t="str">
        <x:f>'MASTER_QUEUE'!L159</x:f>
        <x:v>MassHire Central MA</x:v>
      </x:c>
      <x:c r="G33" s="30" t="str">
        <x:f>'MASTER_QUEUE'!M159</x:f>
        <x:v>[cite: 56]</x:v>
      </x:c>
      <x:c r="H33" s="30" t="str">
        <x:f>IF('MASTER_QUEUE'!G159="","Recover during research","Provided")</x:f>
        <x:v>Recover during research</x:v>
      </x:c>
      <x:c r="I33" s="30" t="str">
        <x:f>'MASTER_QUEUE'!Y159</x:f>
        <x:v>Not Started</x:v>
      </x:c>
    </x:row>
    <x:row r="34" ht="22" customHeight="1">
      <x:c r="A34" s="96" t="n">
        <x:v>30</x:v>
      </x:c>
      <x:c r="B34" s="96" t="n">
        <x:v>160</x:v>
      </x:c>
      <x:c r="C34" s="30" t="str">
        <x:f>'MASTER_QUEUE'!A160</x:f>
        <x:v>Medford Wellington</x:v>
      </x:c>
      <x:c r="D34" s="30" t="str">
        <x:f>'MASTER_QUEUE'!D160</x:f>
        <x:v>Medford</x:v>
      </x:c>
      <x:c r="E34" s="30" t="str">
        <x:f>'MASTER_QUEUE'!K160</x:f>
        <x:v>Employer / Grantee</x:v>
      </x:c>
      <x:c r="F34" s="30" t="str">
        <x:f>'MASTER_QUEUE'!L160</x:f>
        <x:v>MassHire Metro North</x:v>
      </x:c>
      <x:c r="G34" s="30" t="str">
        <x:f>'MASTER_QUEUE'!M160</x:f>
        <x:v>[cite: 29]</x:v>
      </x:c>
      <x:c r="H34" s="30" t="str">
        <x:f>IF('MASTER_QUEUE'!G160="","Recover during research","Provided")</x:f>
        <x:v>Recover during research</x:v>
      </x:c>
      <x:c r="I34" s="30" t="str">
        <x:f>'MASTER_QUEUE'!Y160</x:f>
        <x:v>Not Started</x:v>
      </x:c>
    </x:row>
    <x:row r="35" ht="22" customHeight="1">
      <x:c r="A35" s="96" t="n">
        <x:v>31</x:v>
      </x:c>
      <x:c r="B35" s="96" t="n">
        <x:v>161</x:v>
      </x:c>
      <x:c r="C35" s="30" t="str">
        <x:f>'MASTER_QUEUE'!A161</x:f>
        <x:v>Meninno Brothers Gourmet Foods</x:v>
      </x:c>
      <x:c r="D35" s="30" t="str">
        <x:f>'MASTER_QUEUE'!D161</x:f>
        <x:v>Danvers</x:v>
      </x:c>
      <x:c r="E35" s="30" t="str">
        <x:f>'MASTER_QUEUE'!K161</x:f>
        <x:v>Employer / Grantee</x:v>
      </x:c>
      <x:c r="F35" s="30" t="str">
        <x:f>'MASTER_QUEUE'!L161</x:f>
        <x:v>MassHire North Shore</x:v>
      </x:c>
      <x:c r="G35" s="30" t="str">
        <x:f>'MASTER_QUEUE'!M161</x:f>
        <x:v>[cite: 27]</x:v>
      </x:c>
      <x:c r="H35" s="30" t="str">
        <x:f>IF('MASTER_QUEUE'!G161="","Recover during research","Provided")</x:f>
        <x:v>Recover during research</x:v>
      </x:c>
      <x:c r="I35" s="30" t="str">
        <x:f>'MASTER_QUEUE'!Y161</x:f>
        <x:v>Not Started</x:v>
      </x:c>
    </x:row>
    <x:row r="36" ht="22" customHeight="1">
      <x:c r="A36" s="96" t="n">
        <x:v>32</x:v>
      </x:c>
      <x:c r="B36" s="96" t="n">
        <x:v>162</x:v>
      </x:c>
      <x:c r="C36" s="30" t="str">
        <x:f>'MASTER_QUEUE'!A162</x:f>
        <x:v>Mide Technologies</x:v>
      </x:c>
      <x:c r="D36" s="30" t="str">
        <x:f>'MASTER_QUEUE'!D162</x:f>
        <x:v>Woburn</x:v>
      </x:c>
      <x:c r="E36" s="30" t="str">
        <x:f>'MASTER_QUEUE'!K162</x:f>
        <x:v>Employer / Grantee</x:v>
      </x:c>
      <x:c r="F36" s="30" t="str">
        <x:f>'MASTER_QUEUE'!L162</x:f>
        <x:v>MassHire Metro North</x:v>
      </x:c>
      <x:c r="G36" s="30" t="str">
        <x:f>'MASTER_QUEUE'!M162</x:f>
        <x:v>[cite: 5]</x:v>
      </x:c>
      <x:c r="H36" s="30" t="str">
        <x:f>IF('MASTER_QUEUE'!G162="","Recover during research","Provided")</x:f>
        <x:v>Recover during research</x:v>
      </x:c>
      <x:c r="I36" s="30" t="str">
        <x:f>'MASTER_QUEUE'!Y162</x:f>
        <x:v>Not Started</x:v>
      </x:c>
    </x:row>
    <x:row r="37" ht="22" customHeight="1">
      <x:c r="A37" s="96" t="n">
        <x:v>33</x:v>
      </x:c>
      <x:c r="B37" s="96" t="n">
        <x:v>163</x:v>
      </x:c>
      <x:c r="C37" s="30" t="str">
        <x:f>'MASTER_QUEUE'!A163</x:f>
        <x:v>MKS Instruments</x:v>
      </x:c>
      <x:c r="D37" s="30" t="str">
        <x:f>'MASTER_QUEUE'!D163</x:f>
        <x:v>Andover</x:v>
      </x:c>
      <x:c r="E37" s="30" t="str">
        <x:f>'MASTER_QUEUE'!K163</x:f>
        <x:v>Employer / Grantee</x:v>
      </x:c>
      <x:c r="F37" s="30" t="str">
        <x:f>'MASTER_QUEUE'!L163</x:f>
        <x:v>MassHire Merrimack Valley</x:v>
      </x:c>
      <x:c r="G37" s="30" t="str">
        <x:f>'MASTER_QUEUE'!M163</x:f>
        <x:v>[cite: 28, 29, 33]</x:v>
      </x:c>
      <x:c r="H37" s="30" t="str">
        <x:f>IF('MASTER_QUEUE'!G163="","Recover during research","Provided")</x:f>
        <x:v>Recover during research</x:v>
      </x:c>
      <x:c r="I37" s="30" t="str">
        <x:f>'MASTER_QUEUE'!Y163</x:f>
        <x:v>Not Started</x:v>
      </x:c>
    </x:row>
    <x:row r="38" ht="22" customHeight="1">
      <x:c r="A38" s="96" t="n">
        <x:v>34</x:v>
      </x:c>
      <x:c r="B38" s="96" t="n">
        <x:v>164</x:v>
      </x:c>
      <x:c r="C38" s="30" t="str">
        <x:f>'MASTER_QUEUE'!A164</x:f>
        <x:v>Monogram Foods</x:v>
      </x:c>
      <x:c r="D38" s="30" t="str">
        <x:f>'MASTER_QUEUE'!D164</x:f>
        <x:v>Wilmington</x:v>
      </x:c>
      <x:c r="E38" s="30" t="str">
        <x:f>'MASTER_QUEUE'!K164</x:f>
        <x:v>Employer / Grantee</x:v>
      </x:c>
      <x:c r="F38" s="30" t="str">
        <x:f>'MASTER_QUEUE'!L164</x:f>
        <x:v>MassHire Metro North</x:v>
      </x:c>
      <x:c r="G38" s="30" t="str">
        <x:f>'MASTER_QUEUE'!M164</x:f>
        <x:v>[cite: 29]</x:v>
      </x:c>
      <x:c r="H38" s="30" t="str">
        <x:f>IF('MASTER_QUEUE'!G164="","Recover during research","Provided")</x:f>
        <x:v>Recover during research</x:v>
      </x:c>
      <x:c r="I38" s="30" t="str">
        <x:f>'MASTER_QUEUE'!Y164</x:f>
        <x:v>Not Started</x:v>
      </x:c>
    </x:row>
    <x:row r="39" ht="22" customHeight="1">
      <x:c r="A39" s="96" t="n">
        <x:v>35</x:v>
      </x:c>
      <x:c r="B39" s="96" t="n">
        <x:v>165</x:v>
      </x:c>
      <x:c r="C39" s="30" t="str">
        <x:f>'MASTER_QUEUE'!A165</x:f>
        <x:v>MSG Staffing Inc</x:v>
      </x:c>
      <x:c r="D39" s="30" t="str">
        <x:f>'MASTER_QUEUE'!D165</x:f>
        <x:v>Worcester</x:v>
      </x:c>
      <x:c r="E39" s="30" t="str">
        <x:f>'MASTER_QUEUE'!K165</x:f>
        <x:v>Employer / Grantee</x:v>
      </x:c>
      <x:c r="F39" s="30" t="str">
        <x:f>'MASTER_QUEUE'!L165</x:f>
        <x:v>MassHire Central MA</x:v>
      </x:c>
      <x:c r="G39" s="30" t="str">
        <x:f>'MASTER_QUEUE'!M165</x:f>
        <x:v>[cite: 27]</x:v>
      </x:c>
      <x:c r="H39" s="30" t="str">
        <x:f>IF('MASTER_QUEUE'!G165="","Recover during research","Provided")</x:f>
        <x:v>Recover during research</x:v>
      </x:c>
      <x:c r="I39" s="30" t="str">
        <x:f>'MASTER_QUEUE'!Y165</x:f>
        <x:v>Not Started</x:v>
      </x:c>
    </x:row>
    <x:row r="40" ht="22" customHeight="1">
      <x:c r="A40" s="96" t="n">
        <x:v>36</x:v>
      </x:c>
      <x:c r="B40" s="96" t="n">
        <x:v>166</x:v>
      </x:c>
      <x:c r="C40" s="30" t="str">
        <x:f>'MASTER_QUEUE'!A166</x:f>
        <x:v>Munters Corporation</x:v>
      </x:c>
      <x:c r="D40" s="30" t="str">
        <x:f>'MASTER_QUEUE'!D166</x:f>
        <x:v>Amesbury</x:v>
      </x:c>
      <x:c r="E40" s="30" t="str">
        <x:f>'MASTER_QUEUE'!K166</x:f>
        <x:v>Employer / Grantee</x:v>
      </x:c>
      <x:c r="F40" s="30" t="str">
        <x:f>'MASTER_QUEUE'!L166</x:f>
        <x:v>MassHire Merrimack Valley</x:v>
      </x:c>
      <x:c r="G40" s="30" t="str">
        <x:f>'MASTER_QUEUE'!M166</x:f>
        <x:v>[cite: 5]</x:v>
      </x:c>
      <x:c r="H40" s="30" t="str">
        <x:f>IF('MASTER_QUEUE'!G166="","Recover during research","Provided")</x:f>
        <x:v>Recover during research</x:v>
      </x:c>
      <x:c r="I40" s="30" t="str">
        <x:f>'MASTER_QUEUE'!Y166</x:f>
        <x:v>Not Started</x:v>
      </x:c>
    </x:row>
    <x:row r="41" ht="22" customHeight="1">
      <x:c r="A41" s="96" t="n">
        <x:v>37</x:v>
      </x:c>
      <x:c r="B41" s="96" t="n">
        <x:v>167</x:v>
      </x:c>
      <x:c r="C41" s="30" t="str">
        <x:f>'MASTER_QUEUE'!A167</x:f>
        <x:v>Nanoramic Laboratories</x:v>
      </x:c>
      <x:c r="D41" s="30" t="str">
        <x:f>'MASTER_QUEUE'!D167</x:f>
        <x:v>Boston</x:v>
      </x:c>
      <x:c r="E41" s="30" t="str">
        <x:f>'MASTER_QUEUE'!K167</x:f>
        <x:v>Employer / Grantee</x:v>
      </x:c>
      <x:c r="F41" s="30" t="str">
        <x:f>'MASTER_QUEUE'!L167</x:f>
        <x:v>MassHire Boston</x:v>
      </x:c>
      <x:c r="G41" s="30" t="str">
        <x:f>'MASTER_QUEUE'!M167</x:f>
        <x:v>[cite: 56]</x:v>
      </x:c>
      <x:c r="H41" s="30" t="str">
        <x:f>IF('MASTER_QUEUE'!G167="","Recover during research","Provided")</x:f>
        <x:v>Recover during research</x:v>
      </x:c>
      <x:c r="I41" s="30" t="str">
        <x:f>'MASTER_QUEUE'!Y167</x:f>
        <x:v>Not Started</x:v>
      </x:c>
    </x:row>
    <x:row r="42" ht="22" customHeight="1">
      <x:c r="A42" s="96" t="n">
        <x:v>38</x:v>
      </x:c>
      <x:c r="B42" s="96" t="n">
        <x:v>168</x:v>
      </x:c>
      <x:c r="C42" s="30" t="str">
        <x:f>'MASTER_QUEUE'!A168</x:f>
        <x:v>NeuroLogica</x:v>
      </x:c>
      <x:c r="D42" s="30" t="str">
        <x:f>'MASTER_QUEUE'!D168</x:f>
        <x:v>Danvers</x:v>
      </x:c>
      <x:c r="E42" s="30" t="str">
        <x:f>'MASTER_QUEUE'!K168</x:f>
        <x:v>Employer / Grantee</x:v>
      </x:c>
      <x:c r="F42" s="30" t="str">
        <x:f>'MASTER_QUEUE'!L168</x:f>
        <x:v>MassHire North Shore</x:v>
      </x:c>
      <x:c r="G42" s="30" t="str">
        <x:f>'MASTER_QUEUE'!M168</x:f>
        <x:v>[cite: 29, 33]</x:v>
      </x:c>
      <x:c r="H42" s="30" t="str">
        <x:f>IF('MASTER_QUEUE'!G168="","Recover during research","Provided")</x:f>
        <x:v>Recover during research</x:v>
      </x:c>
      <x:c r="I42" s="30" t="str">
        <x:f>'MASTER_QUEUE'!Y168</x:f>
        <x:v>Not Started</x:v>
      </x:c>
    </x:row>
    <x:row r="43" ht="22" customHeight="1">
      <x:c r="A43" s="96" t="n">
        <x:v>39</x:v>
      </x:c>
      <x:c r="B43" s="96" t="n">
        <x:v>169</x:v>
      </x:c>
      <x:c r="C43" s="30" t="str">
        <x:f>'MASTER_QUEUE'!A169</x:f>
        <x:v>New England Appliance Group</x:v>
      </x:c>
      <x:c r="D43" s="30" t="str">
        <x:f>'MASTER_QUEUE'!D169</x:f>
        <x:v>Franklin</x:v>
      </x:c>
      <x:c r="E43" s="30" t="str">
        <x:f>'MASTER_QUEUE'!K169</x:f>
        <x:v>Employer / Grantee</x:v>
      </x:c>
      <x:c r="F43" s="30" t="str">
        <x:f>'MASTER_QUEUE'!L169</x:f>
        <x:v>MassHire Central MA</x:v>
      </x:c>
      <x:c r="G43" s="30" t="str">
        <x:f>'MASTER_QUEUE'!M169</x:f>
        <x:v>[cite: 29, 33]</x:v>
      </x:c>
      <x:c r="H43" s="30" t="str">
        <x:f>IF('MASTER_QUEUE'!G169="","Recover during research","Provided")</x:f>
        <x:v>Recover during research</x:v>
      </x:c>
      <x:c r="I43" s="30" t="str">
        <x:f>'MASTER_QUEUE'!Y169</x:f>
        <x:v>Not Started</x:v>
      </x:c>
    </x:row>
    <x:row r="44" ht="22" customHeight="1">
      <x:c r="A44" s="96" t="n">
        <x:v>40</x:v>
      </x:c>
      <x:c r="B44" s="96" t="n">
        <x:v>170</x:v>
      </x:c>
      <x:c r="C44" s="30" t="str">
        <x:f>'MASTER_QUEUE'!A170</x:f>
        <x:v>Nitor</x:v>
      </x:c>
      <x:c r="D44" s="30" t="str">
        <x:f>'MASTER_QUEUE'!D170</x:f>
        <x:v>Southwick</x:v>
      </x:c>
      <x:c r="E44" s="30" t="str">
        <x:f>'MASTER_QUEUE'!K170</x:f>
        <x:v>Employer / Grantee</x:v>
      </x:c>
      <x:c r="F44" s="30" t="str">
        <x:f>'MASTER_QUEUE'!L170</x:f>
        <x:v>MassHire Hampden</x:v>
      </x:c>
      <x:c r="G44" s="30" t="str">
        <x:f>'MASTER_QUEUE'!M170</x:f>
        <x:v>[cite: 29]</x:v>
      </x:c>
      <x:c r="H44" s="30" t="str">
        <x:f>IF('MASTER_QUEUE'!G170="","Recover during research","Provided")</x:f>
        <x:v>Recover during research</x:v>
      </x:c>
      <x:c r="I44" s="30" t="str">
        <x:f>'MASTER_QUEUE'!Y170</x:f>
        <x:v>Not Started</x:v>
      </x:c>
    </x:row>
    <x:row r="45" ht="22" customHeight="1">
      <x:c r="A45" s="96" t="n">
        <x:v>41</x:v>
      </x:c>
      <x:c r="B45" s="96" t="n">
        <x:v>171</x:v>
      </x:c>
      <x:c r="C45" s="30" t="str">
        <x:f>'MASTER_QUEUE'!A171</x:f>
        <x:v>Northern Tree Service</x:v>
      </x:c>
      <x:c r="D45" s="30" t="str">
        <x:f>'MASTER_QUEUE'!D171</x:f>
        <x:v>Palmer</x:v>
      </x:c>
      <x:c r="E45" s="30" t="str">
        <x:f>'MASTER_QUEUE'!K171</x:f>
        <x:v>Employer / Grantee</x:v>
      </x:c>
      <x:c r="F45" s="30" t="str">
        <x:f>'MASTER_QUEUE'!L171</x:f>
        <x:v>MassHire Hampden</x:v>
      </x:c>
      <x:c r="G45" s="30" t="str">
        <x:f>'MASTER_QUEUE'!M171</x:f>
        <x:v>[cite: 5]</x:v>
      </x:c>
      <x:c r="H45" s="30" t="str">
        <x:f>IF('MASTER_QUEUE'!G171="","Recover during research","Provided")</x:f>
        <x:v>Recover during research</x:v>
      </x:c>
      <x:c r="I45" s="30" t="str">
        <x:f>'MASTER_QUEUE'!Y171</x:f>
        <x:v>Not Started</x:v>
      </x:c>
    </x:row>
    <x:row r="46" ht="22" customHeight="1">
      <x:c r="A46" s="96" t="n">
        <x:v>42</x:v>
      </x:c>
      <x:c r="B46" s="96" t="n">
        <x:v>172</x:v>
      </x:c>
      <x:c r="C46" s="30" t="str">
        <x:f>'MASTER_QUEUE'!A172</x:f>
        <x:v>Nuclera Corporation</x:v>
      </x:c>
      <x:c r="D46" s="30" t="str">
        <x:f>'MASTER_QUEUE'!D172</x:f>
        <x:v>Billerica</x:v>
      </x:c>
      <x:c r="E46" s="30" t="str">
        <x:f>'MASTER_QUEUE'!K172</x:f>
        <x:v>Employer / Grantee</x:v>
      </x:c>
      <x:c r="F46" s="30" t="str">
        <x:f>'MASTER_QUEUE'!L172</x:f>
        <x:v>MassHire Greater Lowell</x:v>
      </x:c>
      <x:c r="G46" s="30" t="str">
        <x:f>'MASTER_QUEUE'!M172</x:f>
        <x:v>[cite: 27]</x:v>
      </x:c>
      <x:c r="H46" s="30" t="str">
        <x:f>IF('MASTER_QUEUE'!G172="","Recover during research","Provided")</x:f>
        <x:v>Recover during research</x:v>
      </x:c>
      <x:c r="I46" s="30" t="str">
        <x:f>'MASTER_QUEUE'!Y172</x:f>
        <x:v>Not Started</x:v>
      </x:c>
    </x:row>
    <x:row r="47" ht="22" customHeight="1">
      <x:c r="A47" s="96" t="n">
        <x:v>43</x:v>
      </x:c>
      <x:c r="B47" s="96" t="n">
        <x:v>173</x:v>
      </x:c>
      <x:c r="C47" s="30" t="str">
        <x:f>'MASTER_QUEUE'!A173</x:f>
        <x:v>Onto Innovation</x:v>
      </x:c>
      <x:c r="D47" s="30" t="str">
        <x:f>'MASTER_QUEUE'!D173</x:f>
        <x:v>Wilmington</x:v>
      </x:c>
      <x:c r="E47" s="30" t="str">
        <x:f>'MASTER_QUEUE'!K173</x:f>
        <x:v>Employer / Grantee</x:v>
      </x:c>
      <x:c r="F47" s="30" t="str">
        <x:f>'MASTER_QUEUE'!L173</x:f>
        <x:v>MassHire Metro North</x:v>
      </x:c>
      <x:c r="G47" s="30" t="str">
        <x:f>'MASTER_QUEUE'!M173</x:f>
        <x:v>[cite: 29]</x:v>
      </x:c>
      <x:c r="H47" s="30" t="str">
        <x:f>IF('MASTER_QUEUE'!G173="","Recover during research","Provided")</x:f>
        <x:v>Recover during research</x:v>
      </x:c>
      <x:c r="I47" s="30" t="str">
        <x:f>'MASTER_QUEUE'!Y173</x:f>
        <x:v>Not Started</x:v>
      </x:c>
    </x:row>
    <x:row r="48" ht="22" customHeight="1">
      <x:c r="A48" s="96" t="n">
        <x:v>44</x:v>
      </x:c>
      <x:c r="B48" s="96" t="n">
        <x:v>174</x:v>
      </x:c>
      <x:c r="C48" s="30" t="str">
        <x:f>'MASTER_QUEUE'!A174</x:f>
        <x:v>Optikos</x:v>
      </x:c>
      <x:c r="D48" s="30" t="str">
        <x:f>'MASTER_QUEUE'!D174</x:f>
        <x:v>Wakefield</x:v>
      </x:c>
      <x:c r="E48" s="30" t="str">
        <x:f>'MASTER_QUEUE'!K174</x:f>
        <x:v>Employer / Grantee</x:v>
      </x:c>
      <x:c r="F48" s="30" t="str">
        <x:f>'MASTER_QUEUE'!L174</x:f>
        <x:v>MassHire Metro North</x:v>
      </x:c>
      <x:c r="G48" s="30" t="str">
        <x:f>'MASTER_QUEUE'!M174</x:f>
        <x:v>[cite: 28, 29]</x:v>
      </x:c>
      <x:c r="H48" s="30" t="str">
        <x:f>IF('MASTER_QUEUE'!G174="","Recover during research","Provided")</x:f>
        <x:v>Recover during research</x:v>
      </x:c>
      <x:c r="I48" s="30" t="str">
        <x:f>'MASTER_QUEUE'!Y174</x:f>
        <x:v>Not Started</x:v>
      </x:c>
    </x:row>
    <x:row r="49" ht="22" customHeight="1">
      <x:c r="A49" s="96" t="n">
        <x:v>45</x:v>
      </x:c>
      <x:c r="B49" s="96" t="n">
        <x:v>175</x:v>
      </x:c>
      <x:c r="C49" s="30" t="str">
        <x:f>'MASTER_QUEUE'!A175</x:f>
        <x:v>Outdoor Pride Landscaping</x:v>
      </x:c>
      <x:c r="D49" s="30" t="str">
        <x:f>'MASTER_QUEUE'!D175</x:f>
        <x:v>Chelmsford</x:v>
      </x:c>
      <x:c r="E49" s="30" t="str">
        <x:f>'MASTER_QUEUE'!K175</x:f>
        <x:v>Employer / Grantee</x:v>
      </x:c>
      <x:c r="F49" s="30" t="str">
        <x:f>'MASTER_QUEUE'!L175</x:f>
        <x:v>MassHire Greater Lowell</x:v>
      </x:c>
      <x:c r="G49" s="30" t="str">
        <x:f>'MASTER_QUEUE'!M175</x:f>
        <x:v>[cite: 27]</x:v>
      </x:c>
      <x:c r="H49" s="30" t="str">
        <x:f>IF('MASTER_QUEUE'!G175="","Recover during research","Provided")</x:f>
        <x:v>Recover during research</x:v>
      </x:c>
      <x:c r="I49" s="30" t="str">
        <x:f>'MASTER_QUEUE'!Y175</x:f>
        <x:v>Not Started</x:v>
      </x:c>
    </x:row>
    <x:row r="50" ht="22" customHeight="1">
      <x:c r="A50" s="96" t="n">
        <x:v>46</x:v>
      </x:c>
      <x:c r="B50" s="96" t="n">
        <x:v>176</x:v>
      </x:c>
      <x:c r="C50" s="30" t="str">
        <x:f>'MASTER_QUEUE'!A176</x:f>
        <x:v>PBNA</x:v>
      </x:c>
      <x:c r="D50" s="30" t="str">
        <x:f>'MASTER_QUEUE'!D176</x:f>
        <x:v>Norwood</x:v>
      </x:c>
      <x:c r="E50" s="30" t="str">
        <x:f>'MASTER_QUEUE'!K176</x:f>
        <x:v>Employer / Grantee</x:v>
      </x:c>
      <x:c r="F50" s="30" t="str">
        <x:f>'MASTER_QUEUE'!L176</x:f>
        <x:v>MassHire Metro South/West</x:v>
      </x:c>
      <x:c r="G50" s="30" t="str">
        <x:f>'MASTER_QUEUE'!M176</x:f>
        <x:v>[cite: 27]</x:v>
      </x:c>
      <x:c r="H50" s="30" t="str">
        <x:f>IF('MASTER_QUEUE'!G176="","Recover during research","Provided")</x:f>
        <x:v>Recover during research</x:v>
      </x:c>
      <x:c r="I50" s="30" t="str">
        <x:f>'MASTER_QUEUE'!Y176</x:f>
        <x:v>Not Started</x:v>
      </x:c>
    </x:row>
    <x:row r="51" ht="22" customHeight="1">
      <x:c r="A51" s="96" t="n">
        <x:v>47</x:v>
      </x:c>
      <x:c r="B51" s="96" t="n">
        <x:v>177</x:v>
      </x:c>
      <x:c r="C51" s="30" t="str">
        <x:f>'MASTER_QUEUE'!A177</x:f>
        <x:v>Plansee USA</x:v>
      </x:c>
      <x:c r="D51" s="30" t="str">
        <x:f>'MASTER_QUEUE'!D177</x:f>
        <x:v>Franklin</x:v>
      </x:c>
      <x:c r="E51" s="30" t="str">
        <x:f>'MASTER_QUEUE'!K177</x:f>
        <x:v>Employer / Grantee</x:v>
      </x:c>
      <x:c r="F51" s="30" t="str">
        <x:f>'MASTER_QUEUE'!L177</x:f>
        <x:v>MassHire Central MA</x:v>
      </x:c>
      <x:c r="G51" s="30" t="str">
        <x:f>'MASTER_QUEUE'!M177</x:f>
        <x:v>[cite: 29, 33]</x:v>
      </x:c>
      <x:c r="H51" s="30" t="str">
        <x:f>IF('MASTER_QUEUE'!G177="","Recover during research","Provided")</x:f>
        <x:v>Recover during research</x:v>
      </x:c>
      <x:c r="I51" s="30" t="str">
        <x:f>'MASTER_QUEUE'!Y177</x:f>
        <x:v>Not Started</x:v>
      </x:c>
    </x:row>
    <x:row r="52" ht="22" customHeight="1">
      <x:c r="A52" s="96" t="n">
        <x:v>48</x:v>
      </x:c>
      <x:c r="B52" s="96" t="n">
        <x:v>178</x:v>
      </x:c>
      <x:c r="C52" s="30" t="str">
        <x:f>'MASTER_QUEUE'!A178</x:f>
        <x:v>Polyvinyl Films</x:v>
      </x:c>
      <x:c r="D52" s="30" t="str">
        <x:f>'MASTER_QUEUE'!D178</x:f>
        <x:v>Sutton</x:v>
      </x:c>
      <x:c r="E52" s="30" t="str">
        <x:f>'MASTER_QUEUE'!K178</x:f>
        <x:v>Employer / Grantee</x:v>
      </x:c>
      <x:c r="F52" s="30" t="str">
        <x:f>'MASTER_QUEUE'!L178</x:f>
        <x:v>MassHire Central MA</x:v>
      </x:c>
      <x:c r="G52" s="30" t="str">
        <x:f>'MASTER_QUEUE'!M178</x:f>
        <x:v>[cite: 29]</x:v>
      </x:c>
      <x:c r="H52" s="30" t="str">
        <x:f>IF('MASTER_QUEUE'!G178="","Recover during research","Provided")</x:f>
        <x:v>Recover during research</x:v>
      </x:c>
      <x:c r="I52" s="30" t="str">
        <x:f>'MASTER_QUEUE'!Y178</x:f>
        <x:v>Not Started</x:v>
      </x:c>
    </x:row>
    <x:row r="53" ht="22" customHeight="1">
      <x:c r="A53" s="96" t="n">
        <x:v>49</x:v>
      </x:c>
      <x:c r="B53" s="96" t="n">
        <x:v>179</x:v>
      </x:c>
      <x:c r="C53" s="30" t="str">
        <x:f>'MASTER_QUEUE'!A179</x:f>
        <x:v>Precision Coating</x:v>
      </x:c>
      <x:c r="D53" s="30" t="str">
        <x:f>'MASTER_QUEUE'!D179</x:f>
        <x:v>Hudson</x:v>
      </x:c>
      <x:c r="E53" s="30" t="str">
        <x:f>'MASTER_QUEUE'!K179</x:f>
        <x:v>Employer / Grantee</x:v>
      </x:c>
      <x:c r="F53" s="30" t="str">
        <x:f>'MASTER_QUEUE'!L179</x:f>
        <x:v>MassHire Metro South/West</x:v>
      </x:c>
      <x:c r="G53" s="30" t="str">
        <x:f>'MASTER_QUEUE'!M179</x:f>
        <x:v>[cite: 29, 33]</x:v>
      </x:c>
      <x:c r="H53" s="30" t="str">
        <x:f>IF('MASTER_QUEUE'!G179="","Recover during research","Provided")</x:f>
        <x:v>Recover during research</x:v>
      </x:c>
      <x:c r="I53" s="30" t="str">
        <x:f>'MASTER_QUEUE'!Y179</x:f>
        <x:v>Not Started</x:v>
      </x:c>
    </x:row>
    <x:row r="54" ht="22" customHeight="1">
      <x:c r="A54" s="97" t="n">
        <x:v>50</x:v>
      </x:c>
      <x:c r="B54" s="97" t="n">
        <x:v>180</x:v>
      </x:c>
      <x:c r="C54" s="31" t="str">
        <x:f>'MASTER_QUEUE'!A180</x:f>
        <x:v>Premier Fence</x:v>
      </x:c>
      <x:c r="D54" s="31" t="str">
        <x:f>'MASTER_QUEUE'!D180</x:f>
        <x:v>Canton</x:v>
      </x:c>
      <x:c r="E54" s="31" t="str">
        <x:f>'MASTER_QUEUE'!K180</x:f>
        <x:v>Employer / Grantee</x:v>
      </x:c>
      <x:c r="F54" s="31" t="str">
        <x:f>'MASTER_QUEUE'!L180</x:f>
        <x:v>MassHire South Shore</x:v>
      </x:c>
      <x:c r="G54" s="31" t="str">
        <x:f>'MASTER_QUEUE'!M180</x:f>
        <x:v>[cite: 5]</x:v>
      </x:c>
      <x:c r="H54" s="31" t="str">
        <x:f>IF('MASTER_QUEUE'!G180="","Recover during research","Provided")</x:f>
        <x:v>Recover during research</x:v>
      </x:c>
      <x:c r="I54" s="31" t="str">
        <x:f>'MASTER_QUEUE'!Y180</x:f>
        <x:v>Not Started</x:v>
      </x:c>
    </x:row>
  </x:sheetData>
  <x:mergeCells>
    <x:mergeCell ref="A1:I1"/>
    <x:mergeCell ref="A2:I2"/>
  </x:mergeCells>
  <x:conditionalFormatting sqref="H5:H54">
    <x:cfRule type="containsText" dxfId="9" priority="1" operator="containsText" text="Recover"/>
  </x:conditionalFormatting>
  <x:conditionalFormatting sqref="I5:I54">
    <x:cfRule type="containsText" dxfId="10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c52659b8c111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36" hidden="0" customWidth="1"/>
    <x:col min="4" max="4" width="17" hidden="0" customWidth="1"/>
    <x:col min="5" max="5" width="24" hidden="0" customWidth="1"/>
    <x:col min="6" max="6" width="27" hidden="0" customWidth="1"/>
    <x:col min="7" max="7" width="21" hidden="0" customWidth="1"/>
    <x:col min="8" max="8" width="23" hidden="0" customWidth="1"/>
    <x:col min="9" max="9" width="18" hidden="0" customWidth="1"/>
  </x:cols>
  <x:sheetData>
    <x:row r="1">
      <x:c r="A1" s="3" t="str">
        <x:v>Snov exact queue (50)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7" t="str">
        <x:v>View-only assignment. Enter every research result in MASTER_QUEUE. Budget at most one credit per assigned company.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queueNumber</x:v>
      </x:c>
      <x:c r="B4" s="20" t="str">
        <x:v>masterRow</x:v>
      </x:c>
      <x:c r="C4" s="20" t="str">
        <x:v>company</x:v>
      </x:c>
      <x:c r="D4" s="20" t="str">
        <x:v>city</x:v>
      </x:c>
      <x:c r="E4" s="20" t="str">
        <x:v>sourceCategory</x:v>
      </x:c>
      <x:c r="F4" s="20" t="str">
        <x:v>sourceDetail</x:v>
      </x:c>
      <x:c r="G4" s="20" t="str">
        <x:v>sourceCitation</x:v>
      </x:c>
      <x:c r="H4" s="20" t="str">
        <x:v>sourceUrlStatus</x:v>
      </x:c>
      <x:c r="I4" s="21" t="str">
        <x:v>reviewStatus</x:v>
      </x:c>
    </x:row>
    <x:row r="5" ht="22" customHeight="1">
      <x:c r="A5" s="95" t="n">
        <x:v>1</x:v>
      </x:c>
      <x:c r="B5" s="95" t="n">
        <x:v>181</x:v>
      </x:c>
      <x:c r="C5" s="29" t="str">
        <x:f>'MASTER_QUEUE'!A181</x:f>
        <x:v>Primetals Technologies</x:v>
      </x:c>
      <x:c r="D5" s="29" t="str">
        <x:f>'MASTER_QUEUE'!D181</x:f>
        <x:v>Sutton</x:v>
      </x:c>
      <x:c r="E5" s="29" t="str">
        <x:f>'MASTER_QUEUE'!K181</x:f>
        <x:v>Employer / Grantee</x:v>
      </x:c>
      <x:c r="F5" s="29" t="str">
        <x:f>'MASTER_QUEUE'!L181</x:f>
        <x:v>MassHire Central MA</x:v>
      </x:c>
      <x:c r="G5" s="29" t="str">
        <x:f>'MASTER_QUEUE'!M181</x:f>
        <x:v>[cite: 27]</x:v>
      </x:c>
      <x:c r="H5" s="29" t="str">
        <x:f>IF('MASTER_QUEUE'!G181="","Recover during research","Provided")</x:f>
        <x:v>Recover during research</x:v>
      </x:c>
      <x:c r="I5" s="29" t="str">
        <x:f>'MASTER_QUEUE'!Y181</x:f>
        <x:v>Not Started</x:v>
      </x:c>
    </x:row>
    <x:row r="6" ht="22" customHeight="1">
      <x:c r="A6" s="96" t="n">
        <x:v>2</x:v>
      </x:c>
      <x:c r="B6" s="96" t="n">
        <x:v>182</x:v>
      </x:c>
      <x:c r="C6" s="30" t="str">
        <x:f>'MASTER_QUEUE'!A182</x:f>
        <x:v>QPS</x:v>
      </x:c>
      <x:c r="D6" s="30" t="str">
        <x:f>'MASTER_QUEUE'!D182</x:f>
        <x:v>Statewide</x:v>
      </x:c>
      <x:c r="E6" s="30" t="str">
        <x:f>'MASTER_QUEUE'!K182</x:f>
        <x:v>Employer / Grantee</x:v>
      </x:c>
      <x:c r="F6" s="30" t="str">
        <x:f>'MASTER_QUEUE'!L182</x:f>
        <x:v>Consolidated</x:v>
      </x:c>
      <x:c r="G6" s="30" t="str">
        <x:f>'MASTER_QUEUE'!M182</x:f>
        <x:v>[cite: 41]</x:v>
      </x:c>
      <x:c r="H6" s="30" t="str">
        <x:f>IF('MASTER_QUEUE'!G182="","Recover during research","Provided")</x:f>
        <x:v>Recover during research</x:v>
      </x:c>
      <x:c r="I6" s="30" t="str">
        <x:f>'MASTER_QUEUE'!Y182</x:f>
        <x:v>Not Started</x:v>
      </x:c>
    </x:row>
    <x:row r="7" ht="22" customHeight="1">
      <x:c r="A7" s="96" t="n">
        <x:v>3</x:v>
      </x:c>
      <x:c r="B7" s="96" t="n">
        <x:v>183</x:v>
      </x:c>
      <x:c r="C7" s="30" t="str">
        <x:f>'MASTER_QUEUE'!A183</x:f>
        <x:v>Quanterix</x:v>
      </x:c>
      <x:c r="D7" s="30" t="str">
        <x:f>'MASTER_QUEUE'!D183</x:f>
        <x:v>Billerica</x:v>
      </x:c>
      <x:c r="E7" s="30" t="str">
        <x:f>'MASTER_QUEUE'!K183</x:f>
        <x:v>Employer / Grantee</x:v>
      </x:c>
      <x:c r="F7" s="30" t="str">
        <x:f>'MASTER_QUEUE'!L183</x:f>
        <x:v>MassHire Greater Lowell</x:v>
      </x:c>
      <x:c r="G7" s="30" t="str">
        <x:f>'MASTER_QUEUE'!M183</x:f>
        <x:v>[cite: 29, 33]</x:v>
      </x:c>
      <x:c r="H7" s="30" t="str">
        <x:f>IF('MASTER_QUEUE'!G183="","Recover during research","Provided")</x:f>
        <x:v>Recover during research</x:v>
      </x:c>
      <x:c r="I7" s="30" t="str">
        <x:f>'MASTER_QUEUE'!Y183</x:f>
        <x:v>Not Started</x:v>
      </x:c>
    </x:row>
    <x:row r="8" ht="22" customHeight="1">
      <x:c r="A8" s="96" t="n">
        <x:v>4</x:v>
      </x:c>
      <x:c r="B8" s="96" t="n">
        <x:v>184</x:v>
      </x:c>
      <x:c r="C8" s="30" t="str">
        <x:f>'MASTER_QUEUE'!A184</x:f>
        <x:v>R. H. White Companies</x:v>
      </x:c>
      <x:c r="D8" s="30" t="str">
        <x:f>'MASTER_QUEUE'!D184</x:f>
        <x:v>Auburn</x:v>
      </x:c>
      <x:c r="E8" s="30" t="str">
        <x:f>'MASTER_QUEUE'!K184</x:f>
        <x:v>Employer / Grantee</x:v>
      </x:c>
      <x:c r="F8" s="30" t="str">
        <x:f>'MASTER_QUEUE'!L184</x:f>
        <x:v>MassHire Central MA</x:v>
      </x:c>
      <x:c r="G8" s="30" t="str">
        <x:f>'MASTER_QUEUE'!M184</x:f>
        <x:v>[cite: 56]</x:v>
      </x:c>
      <x:c r="H8" s="30" t="str">
        <x:f>IF('MASTER_QUEUE'!G184="","Recover during research","Provided")</x:f>
        <x:v>Recover during research</x:v>
      </x:c>
      <x:c r="I8" s="30" t="str">
        <x:f>'MASTER_QUEUE'!Y184</x:f>
        <x:v>Not Started</x:v>
      </x:c>
    </x:row>
    <x:row r="9" ht="22" customHeight="1">
      <x:c r="A9" s="96" t="n">
        <x:v>5</x:v>
      </x:c>
      <x:c r="B9" s="96" t="n">
        <x:v>185</x:v>
      </x:c>
      <x:c r="C9" s="30" t="str">
        <x:f>'MASTER_QUEUE'!A185</x:f>
        <x:v>RCAP Solutions</x:v>
      </x:c>
      <x:c r="D9" s="30" t="str">
        <x:f>'MASTER_QUEUE'!D185</x:f>
        <x:v>Worcester</x:v>
      </x:c>
      <x:c r="E9" s="30" t="str">
        <x:f>'MASTER_QUEUE'!K185</x:f>
        <x:v>Employer / Grantee</x:v>
      </x:c>
      <x:c r="F9" s="30" t="str">
        <x:f>'MASTER_QUEUE'!L185</x:f>
        <x:v>MassHire Central MA</x:v>
      </x:c>
      <x:c r="G9" s="30" t="str">
        <x:f>'MASTER_QUEUE'!M185</x:f>
        <x:v>[cite: 27]</x:v>
      </x:c>
      <x:c r="H9" s="30" t="str">
        <x:f>IF('MASTER_QUEUE'!G185="","Recover during research","Provided")</x:f>
        <x:v>Recover during research</x:v>
      </x:c>
      <x:c r="I9" s="30" t="str">
        <x:f>'MASTER_QUEUE'!Y185</x:f>
        <x:v>Not Started</x:v>
      </x:c>
    </x:row>
    <x:row r="10" ht="22" customHeight="1">
      <x:c r="A10" s="96" t="n">
        <x:v>6</x:v>
      </x:c>
      <x:c r="B10" s="96" t="n">
        <x:v>186</x:v>
      </x:c>
      <x:c r="C10" s="30" t="str">
        <x:f>'MASTER_QUEUE'!A186</x:f>
        <x:v>Reading Cooperative Bank</x:v>
      </x:c>
      <x:c r="D10" s="30" t="str">
        <x:f>'MASTER_QUEUE'!D186</x:f>
        <x:v>Reading</x:v>
      </x:c>
      <x:c r="E10" s="30" t="str">
        <x:f>'MASTER_QUEUE'!K186</x:f>
        <x:v>Employer / Grantee</x:v>
      </x:c>
      <x:c r="F10" s="30" t="str">
        <x:f>'MASTER_QUEUE'!L186</x:f>
        <x:v>MassHire Metro North</x:v>
      </x:c>
      <x:c r="G10" s="30" t="str">
        <x:f>'MASTER_QUEUE'!M186</x:f>
        <x:v>[cite: 28, 29]</x:v>
      </x:c>
      <x:c r="H10" s="30" t="str">
        <x:f>IF('MASTER_QUEUE'!G186="","Recover during research","Provided")</x:f>
        <x:v>Recover during research</x:v>
      </x:c>
      <x:c r="I10" s="30" t="str">
        <x:f>'MASTER_QUEUE'!Y186</x:f>
        <x:v>Not Started</x:v>
      </x:c>
    </x:row>
    <x:row r="11" ht="22" customHeight="1">
      <x:c r="A11" s="96" t="n">
        <x:v>7</x:v>
      </x:c>
      <x:c r="B11" s="96" t="n">
        <x:v>187</x:v>
      </x:c>
      <x:c r="C11" s="30" t="str">
        <x:f>'MASTER_QUEUE'!A187</x:f>
        <x:v>Rebel Restaurants</x:v>
      </x:c>
      <x:c r="D11" s="30" t="str">
        <x:f>'MASTER_QUEUE'!D187</x:f>
        <x:v>Boston</x:v>
      </x:c>
      <x:c r="E11" s="30" t="str">
        <x:f>'MASTER_QUEUE'!K187</x:f>
        <x:v>Employer / Grantee</x:v>
      </x:c>
      <x:c r="F11" s="30" t="str">
        <x:f>'MASTER_QUEUE'!L187</x:f>
        <x:v>MassHire Boston</x:v>
      </x:c>
      <x:c r="G11" s="30" t="str">
        <x:f>'MASTER_QUEUE'!M187</x:f>
        <x:v>[cite: 56]</x:v>
      </x:c>
      <x:c r="H11" s="30" t="str">
        <x:f>IF('MASTER_QUEUE'!G187="","Recover during research","Provided")</x:f>
        <x:v>Recover during research</x:v>
      </x:c>
      <x:c r="I11" s="30" t="str">
        <x:f>'MASTER_QUEUE'!Y187</x:f>
        <x:v>Not Started</x:v>
      </x:c>
    </x:row>
    <x:row r="12" ht="22" customHeight="1">
      <x:c r="A12" s="96" t="n">
        <x:v>8</x:v>
      </x:c>
      <x:c r="B12" s="96" t="n">
        <x:v>188</x:v>
      </x:c>
      <x:c r="C12" s="30" t="str">
        <x:f>'MASTER_QUEUE'!A188</x:f>
        <x:v>Richards Design Inc.</x:v>
      </x:c>
      <x:c r="D12" s="30" t="str">
        <x:f>'MASTER_QUEUE'!D188</x:f>
        <x:v>East Falmouth</x:v>
      </x:c>
      <x:c r="E12" s="30" t="str">
        <x:f>'MASTER_QUEUE'!K188</x:f>
        <x:v>Employer / Grantee</x:v>
      </x:c>
      <x:c r="F12" s="30" t="str">
        <x:f>'MASTER_QUEUE'!L188</x:f>
        <x:v>MassHire Cape &amp; Islands</x:v>
      </x:c>
      <x:c r="G12" s="30" t="str">
        <x:f>'MASTER_QUEUE'!M188</x:f>
        <x:v>[cite: 56]</x:v>
      </x:c>
      <x:c r="H12" s="30" t="str">
        <x:f>IF('MASTER_QUEUE'!G188="","Recover during research","Provided")</x:f>
        <x:v>Recover during research</x:v>
      </x:c>
      <x:c r="I12" s="30" t="str">
        <x:f>'MASTER_QUEUE'!Y188</x:f>
        <x:v>Not Started</x:v>
      </x:c>
    </x:row>
    <x:row r="13" ht="22" customHeight="1">
      <x:c r="A13" s="96" t="n">
        <x:v>9</x:v>
      </x:c>
      <x:c r="B13" s="96" t="n">
        <x:v>189</x:v>
      </x:c>
      <x:c r="C13" s="30" t="str">
        <x:f>'MASTER_QUEUE'!A189</x:f>
        <x:v>Romanow Container</x:v>
      </x:c>
      <x:c r="D13" s="30" t="str">
        <x:f>'MASTER_QUEUE'!D189</x:f>
        <x:v>Westwood</x:v>
      </x:c>
      <x:c r="E13" s="30" t="str">
        <x:f>'MASTER_QUEUE'!K189</x:f>
        <x:v>Employer / Grantee</x:v>
      </x:c>
      <x:c r="F13" s="30" t="str">
        <x:f>'MASTER_QUEUE'!L189</x:f>
        <x:v>MassHire Metro South/West</x:v>
      </x:c>
      <x:c r="G13" s="30" t="str">
        <x:f>'MASTER_QUEUE'!M189</x:f>
        <x:v>[cite: 29]</x:v>
      </x:c>
      <x:c r="H13" s="30" t="str">
        <x:f>IF('MASTER_QUEUE'!G189="","Recover during research","Provided")</x:f>
        <x:v>Recover during research</x:v>
      </x:c>
      <x:c r="I13" s="30" t="str">
        <x:f>'MASTER_QUEUE'!Y189</x:f>
        <x:v>Not Started</x:v>
      </x:c>
    </x:row>
    <x:row r="14" ht="22" customHeight="1">
      <x:c r="A14" s="96" t="n">
        <x:v>10</x:v>
      </x:c>
      <x:c r="B14" s="96" t="n">
        <x:v>190</x:v>
      </x:c>
      <x:c r="C14" s="30" t="str">
        <x:f>'MASTER_QUEUE'!A190</x:f>
        <x:v>Ruland Manufacturing</x:v>
      </x:c>
      <x:c r="D14" s="30" t="str">
        <x:f>'MASTER_QUEUE'!D190</x:f>
        <x:v>Marlborough</x:v>
      </x:c>
      <x:c r="E14" s="30" t="str">
        <x:f>'MASTER_QUEUE'!K190</x:f>
        <x:v>Employer / Grantee</x:v>
      </x:c>
      <x:c r="F14" s="30" t="str">
        <x:f>'MASTER_QUEUE'!L190</x:f>
        <x:v>MassHire Metro South/West</x:v>
      </x:c>
      <x:c r="G14" s="30" t="str">
        <x:f>'MASTER_QUEUE'!M190</x:f>
        <x:v>[cite: 5]</x:v>
      </x:c>
      <x:c r="H14" s="30" t="str">
        <x:f>IF('MASTER_QUEUE'!G190="","Recover during research","Provided")</x:f>
        <x:v>Recover during research</x:v>
      </x:c>
      <x:c r="I14" s="30" t="str">
        <x:f>'MASTER_QUEUE'!Y190</x:f>
        <x:v>Not Started</x:v>
      </x:c>
    </x:row>
    <x:row r="15" ht="22" customHeight="1">
      <x:c r="A15" s="96" t="n">
        <x:v>11</x:v>
      </x:c>
      <x:c r="B15" s="96" t="n">
        <x:v>191</x:v>
      </x:c>
      <x:c r="C15" s="30" t="str">
        <x:f>'MASTER_QUEUE'!A191</x:f>
        <x:v>Rypos</x:v>
      </x:c>
      <x:c r="D15" s="30" t="str">
        <x:f>'MASTER_QUEUE'!D191</x:f>
        <x:v>Franklin</x:v>
      </x:c>
      <x:c r="E15" s="30" t="str">
        <x:f>'MASTER_QUEUE'!K191</x:f>
        <x:v>Employer / Grantee</x:v>
      </x:c>
      <x:c r="F15" s="30" t="str">
        <x:f>'MASTER_QUEUE'!L191</x:f>
        <x:v>MassHire Central MA</x:v>
      </x:c>
      <x:c r="G15" s="30" t="str">
        <x:f>'MASTER_QUEUE'!M191</x:f>
        <x:v>[cite: 29, 33]</x:v>
      </x:c>
      <x:c r="H15" s="30" t="str">
        <x:f>IF('MASTER_QUEUE'!G191="","Recover during research","Provided")</x:f>
        <x:v>Recover during research</x:v>
      </x:c>
      <x:c r="I15" s="30" t="str">
        <x:f>'MASTER_QUEUE'!Y191</x:f>
        <x:v>Not Started</x:v>
      </x:c>
    </x:row>
    <x:row r="16" ht="22" customHeight="1">
      <x:c r="A16" s="96" t="n">
        <x:v>12</x:v>
      </x:c>
      <x:c r="B16" s="96" t="n">
        <x:v>192</x:v>
      </x:c>
      <x:c r="C16" s="30" t="str">
        <x:f>'MASTER_QUEUE'!A192</x:f>
        <x:v>S&amp;P Consultants, Inc.</x:v>
      </x:c>
      <x:c r="D16" s="30" t="str">
        <x:f>'MASTER_QUEUE'!D192</x:f>
        <x:v>Braintree</x:v>
      </x:c>
      <x:c r="E16" s="30" t="str">
        <x:f>'MASTER_QUEUE'!K192</x:f>
        <x:v>Employer / Grantee</x:v>
      </x:c>
      <x:c r="F16" s="30" t="str">
        <x:f>'MASTER_QUEUE'!L192</x:f>
        <x:v>MassHire South Shore</x:v>
      </x:c>
      <x:c r="G16" s="30" t="str">
        <x:f>'MASTER_QUEUE'!M192</x:f>
        <x:v>[cite: 56]</x:v>
      </x:c>
      <x:c r="H16" s="30" t="str">
        <x:f>IF('MASTER_QUEUE'!G192="","Recover during research","Provided")</x:f>
        <x:v>Recover during research</x:v>
      </x:c>
      <x:c r="I16" s="30" t="str">
        <x:f>'MASTER_QUEUE'!Y192</x:f>
        <x:v>Not Started</x:v>
      </x:c>
    </x:row>
    <x:row r="17" ht="22" customHeight="1">
      <x:c r="A17" s="96" t="n">
        <x:v>13</x:v>
      </x:c>
      <x:c r="B17" s="96" t="n">
        <x:v>193</x:v>
      </x:c>
      <x:c r="C17" s="30" t="str">
        <x:f>'MASTER_QUEUE'!A193</x:f>
        <x:v>Scully Signal Company</x:v>
      </x:c>
      <x:c r="D17" s="30" t="str">
        <x:f>'MASTER_QUEUE'!D193</x:f>
        <x:v>Wilmington</x:v>
      </x:c>
      <x:c r="E17" s="30" t="str">
        <x:f>'MASTER_QUEUE'!K193</x:f>
        <x:v>Employer / Grantee</x:v>
      </x:c>
      <x:c r="F17" s="30" t="str">
        <x:f>'MASTER_QUEUE'!L193</x:f>
        <x:v>MassHire Metro North</x:v>
      </x:c>
      <x:c r="G17" s="30" t="str">
        <x:f>'MASTER_QUEUE'!M193</x:f>
        <x:v>[cite: 45]</x:v>
      </x:c>
      <x:c r="H17" s="30" t="str">
        <x:f>IF('MASTER_QUEUE'!G193="","Recover during research","Provided")</x:f>
        <x:v>Recover during research</x:v>
      </x:c>
      <x:c r="I17" s="30" t="str">
        <x:f>'MASTER_QUEUE'!Y193</x:f>
        <x:v>Not Started</x:v>
      </x:c>
    </x:row>
    <x:row r="18" ht="22" customHeight="1">
      <x:c r="A18" s="96" t="n">
        <x:v>14</x:v>
      </x:c>
      <x:c r="B18" s="96" t="n">
        <x:v>194</x:v>
      </x:c>
      <x:c r="C18" s="30" t="str">
        <x:f>'MASTER_QUEUE'!A194</x:f>
        <x:v>Self Help</x:v>
      </x:c>
      <x:c r="D18" s="30" t="str">
        <x:f>'MASTER_QUEUE'!D194</x:f>
        <x:v>Brockton</x:v>
      </x:c>
      <x:c r="E18" s="30" t="str">
        <x:f>'MASTER_QUEUE'!K194</x:f>
        <x:v>Employer / Grantee</x:v>
      </x:c>
      <x:c r="F18" s="30" t="str">
        <x:f>'MASTER_QUEUE'!L194</x:f>
        <x:v>MassHire Brockton</x:v>
      </x:c>
      <x:c r="G18" s="30" t="str">
        <x:f>'MASTER_QUEUE'!M194</x:f>
        <x:v>[cite: 2, 5]</x:v>
      </x:c>
      <x:c r="H18" s="30" t="str">
        <x:f>IF('MASTER_QUEUE'!G194="","Recover during research","Provided")</x:f>
        <x:v>Recover during research</x:v>
      </x:c>
      <x:c r="I18" s="30" t="str">
        <x:f>'MASTER_QUEUE'!Y194</x:f>
        <x:v>Not Started</x:v>
      </x:c>
    </x:row>
    <x:row r="19" ht="22" customHeight="1">
      <x:c r="A19" s="96" t="n">
        <x:v>15</x:v>
      </x:c>
      <x:c r="B19" s="96" t="n">
        <x:v>195</x:v>
      </x:c>
      <x:c r="C19" s="30" t="str">
        <x:f>'MASTER_QUEUE'!A195</x:f>
        <x:v>Shawmut Communications Group</x:v>
      </x:c>
      <x:c r="D19" s="30" t="str">
        <x:f>'MASTER_QUEUE'!D195</x:f>
        <x:v>Peabody</x:v>
      </x:c>
      <x:c r="E19" s="30" t="str">
        <x:f>'MASTER_QUEUE'!K195</x:f>
        <x:v>Employer / Grantee</x:v>
      </x:c>
      <x:c r="F19" s="30" t="str">
        <x:f>'MASTER_QUEUE'!L195</x:f>
        <x:v>MassHire North Shore</x:v>
      </x:c>
      <x:c r="G19" s="30" t="str">
        <x:f>'MASTER_QUEUE'!M195</x:f>
        <x:v>[cite: 29]</x:v>
      </x:c>
      <x:c r="H19" s="30" t="str">
        <x:f>IF('MASTER_QUEUE'!G195="","Recover during research","Provided")</x:f>
        <x:v>Recover during research</x:v>
      </x:c>
      <x:c r="I19" s="30" t="str">
        <x:f>'MASTER_QUEUE'!Y195</x:f>
        <x:v>Not Started</x:v>
      </x:c>
    </x:row>
    <x:row r="20" ht="22" customHeight="1">
      <x:c r="A20" s="96" t="n">
        <x:v>16</x:v>
      </x:c>
      <x:c r="B20" s="96" t="n">
        <x:v>196</x:v>
      </x:c>
      <x:c r="C20" s="30" t="str">
        <x:f>'MASTER_QUEUE'!A196</x:f>
        <x:v>Shepley Wood Products</x:v>
      </x:c>
      <x:c r="D20" s="30" t="str">
        <x:f>'MASTER_QUEUE'!D196</x:f>
        <x:v>Hyannis</x:v>
      </x:c>
      <x:c r="E20" s="30" t="str">
        <x:f>'MASTER_QUEUE'!K196</x:f>
        <x:v>Employer / Grantee</x:v>
      </x:c>
      <x:c r="F20" s="30" t="str">
        <x:f>'MASTER_QUEUE'!L196</x:f>
        <x:v>MassHire Cape &amp; Islands</x:v>
      </x:c>
      <x:c r="G20" s="30" t="str">
        <x:f>'MASTER_QUEUE'!M196</x:f>
        <x:v>[cite: 29, 33]</x:v>
      </x:c>
      <x:c r="H20" s="30" t="str">
        <x:f>IF('MASTER_QUEUE'!G196="","Recover during research","Provided")</x:f>
        <x:v>Recover during research</x:v>
      </x:c>
      <x:c r="I20" s="30" t="str">
        <x:f>'MASTER_QUEUE'!Y196</x:f>
        <x:v>Not Started</x:v>
      </x:c>
    </x:row>
    <x:row r="21" ht="22" customHeight="1">
      <x:c r="A21" s="96" t="n">
        <x:v>17</x:v>
      </x:c>
      <x:c r="B21" s="96" t="n">
        <x:v>197</x:v>
      </x:c>
      <x:c r="C21" s="30" t="str">
        <x:f>'MASTER_QUEUE'!A197</x:f>
        <x:v>Sika Corporation</x:v>
      </x:c>
      <x:c r="D21" s="30" t="str">
        <x:f>'MASTER_QUEUE'!D197</x:f>
        <x:v>Canton</x:v>
      </x:c>
      <x:c r="E21" s="30" t="str">
        <x:f>'MASTER_QUEUE'!K197</x:f>
        <x:v>Employer / Grantee</x:v>
      </x:c>
      <x:c r="F21" s="30" t="str">
        <x:f>'MASTER_QUEUE'!L197</x:f>
        <x:v>MassHire South Shore</x:v>
      </x:c>
      <x:c r="G21" s="30" t="str">
        <x:f>'MASTER_QUEUE'!M197</x:f>
        <x:v>[cite: 27]</x:v>
      </x:c>
      <x:c r="H21" s="30" t="str">
        <x:f>IF('MASTER_QUEUE'!G197="","Recover during research","Provided")</x:f>
        <x:v>Recover during research</x:v>
      </x:c>
      <x:c r="I21" s="30" t="str">
        <x:f>'MASTER_QUEUE'!Y197</x:f>
        <x:v>Not Started</x:v>
      </x:c>
    </x:row>
    <x:row r="22" ht="22" customHeight="1">
      <x:c r="A22" s="96" t="n">
        <x:v>18</x:v>
      </x:c>
      <x:c r="B22" s="96" t="n">
        <x:v>198</x:v>
      </x:c>
      <x:c r="C22" s="30" t="str">
        <x:f>'MASTER_QUEUE'!A198</x:f>
        <x:v>Sloan</x:v>
      </x:c>
      <x:c r="D22" s="30" t="str">
        <x:f>'MASTER_QUEUE'!D198</x:f>
        <x:v>Andover</x:v>
      </x:c>
      <x:c r="E22" s="30" t="str">
        <x:f>'MASTER_QUEUE'!K198</x:f>
        <x:v>Employer / Grantee</x:v>
      </x:c>
      <x:c r="F22" s="30" t="str">
        <x:f>'MASTER_QUEUE'!L198</x:f>
        <x:v>MassHire Merrimack Valley</x:v>
      </x:c>
      <x:c r="G22" s="30" t="str">
        <x:f>'MASTER_QUEUE'!M198</x:f>
        <x:v>[cite: 56]</x:v>
      </x:c>
      <x:c r="H22" s="30" t="str">
        <x:f>IF('MASTER_QUEUE'!G198="","Recover during research","Provided")</x:f>
        <x:v>Recover during research</x:v>
      </x:c>
      <x:c r="I22" s="30" t="str">
        <x:f>'MASTER_QUEUE'!Y198</x:f>
        <x:v>Not Started</x:v>
      </x:c>
    </x:row>
    <x:row r="23" ht="22" customHeight="1">
      <x:c r="A23" s="96" t="n">
        <x:v>19</x:v>
      </x:c>
      <x:c r="B23" s="96" t="n">
        <x:v>199</x:v>
      </x:c>
      <x:c r="C23" s="30" t="str">
        <x:f>'MASTER_QUEUE'!A199</x:f>
        <x:v>SMC</x:v>
      </x:c>
      <x:c r="D23" s="30" t="str">
        <x:f>'MASTER_QUEUE'!D199</x:f>
        <x:v>Devens</x:v>
      </x:c>
      <x:c r="E23" s="30" t="str">
        <x:f>'MASTER_QUEUE'!K199</x:f>
        <x:v>Employer / Grantee</x:v>
      </x:c>
      <x:c r="F23" s="30" t="str">
        <x:f>'MASTER_QUEUE'!L199</x:f>
        <x:v>MassHire Central MA</x:v>
      </x:c>
      <x:c r="G23" s="30" t="str">
        <x:f>'MASTER_QUEUE'!M199</x:f>
        <x:v>[cite: 29, 33]</x:v>
      </x:c>
      <x:c r="H23" s="30" t="str">
        <x:f>IF('MASTER_QUEUE'!G199="","Recover during research","Provided")</x:f>
        <x:v>Recover during research</x:v>
      </x:c>
      <x:c r="I23" s="30" t="str">
        <x:f>'MASTER_QUEUE'!Y199</x:f>
        <x:v>Not Started</x:v>
      </x:c>
    </x:row>
    <x:row r="24" ht="22" customHeight="1">
      <x:c r="A24" s="96" t="n">
        <x:v>20</x:v>
      </x:c>
      <x:c r="B24" s="96" t="n">
        <x:v>200</x:v>
      </x:c>
      <x:c r="C24" s="30" t="str">
        <x:f>'MASTER_QUEUE'!A200</x:f>
        <x:v>Spectrum Lighting</x:v>
      </x:c>
      <x:c r="D24" s="30" t="str">
        <x:f>'MASTER_QUEUE'!D200</x:f>
        <x:v>Fall River</x:v>
      </x:c>
      <x:c r="E24" s="30" t="str">
        <x:f>'MASTER_QUEUE'!K200</x:f>
        <x:v>Employer / Grantee</x:v>
      </x:c>
      <x:c r="F24" s="30" t="str">
        <x:f>'MASTER_QUEUE'!L200</x:f>
        <x:v>MassHire Bristol County</x:v>
      </x:c>
      <x:c r="G24" s="30" t="str">
        <x:f>'MASTER_QUEUE'!M200</x:f>
        <x:v>[cite: 2, 5]</x:v>
      </x:c>
      <x:c r="H24" s="30" t="str">
        <x:f>IF('MASTER_QUEUE'!G200="","Recover during research","Provided")</x:f>
        <x:v>Recover during research</x:v>
      </x:c>
      <x:c r="I24" s="30" t="str">
        <x:f>'MASTER_QUEUE'!Y200</x:f>
        <x:v>Not Started</x:v>
      </x:c>
    </x:row>
    <x:row r="25" ht="22" customHeight="1">
      <x:c r="A25" s="96" t="n">
        <x:v>21</x:v>
      </x:c>
      <x:c r="B25" s="96" t="n">
        <x:v>201</x:v>
      </x:c>
      <x:c r="C25" s="30" t="str">
        <x:f>'MASTER_QUEUE'!A201</x:f>
        <x:v>Standard Modern Company</x:v>
      </x:c>
      <x:c r="D25" s="30" t="str">
        <x:f>'MASTER_QUEUE'!D201</x:f>
        <x:v>New Bedford</x:v>
      </x:c>
      <x:c r="E25" s="30" t="str">
        <x:f>'MASTER_QUEUE'!K201</x:f>
        <x:v>Employer / Grantee</x:v>
      </x:c>
      <x:c r="F25" s="30" t="str">
        <x:f>'MASTER_QUEUE'!L201</x:f>
        <x:v>MassHire Bristol County</x:v>
      </x:c>
      <x:c r="G25" s="30" t="str">
        <x:f>'MASTER_QUEUE'!M201</x:f>
        <x:v>[cite: 5]</x:v>
      </x:c>
      <x:c r="H25" s="30" t="str">
        <x:f>IF('MASTER_QUEUE'!G201="","Recover during research","Provided")</x:f>
        <x:v>Recover during research</x:v>
      </x:c>
      <x:c r="I25" s="30" t="str">
        <x:f>'MASTER_QUEUE'!Y201</x:f>
        <x:v>Not Started</x:v>
      </x:c>
    </x:row>
    <x:row r="26" ht="22" customHeight="1">
      <x:c r="A26" s="96" t="n">
        <x:v>22</x:v>
      </x:c>
      <x:c r="B26" s="96" t="n">
        <x:v>202</x:v>
      </x:c>
      <x:c r="C26" s="30" t="str">
        <x:f>'MASTER_QUEUE'!A202</x:f>
        <x:v>Stewart Painting</x:v>
      </x:c>
      <x:c r="D26" s="30" t="str">
        <x:f>'MASTER_QUEUE'!D202</x:f>
        <x:v>Hyannis</x:v>
      </x:c>
      <x:c r="E26" s="30" t="str">
        <x:f>'MASTER_QUEUE'!K202</x:f>
        <x:v>Employer / Grantee</x:v>
      </x:c>
      <x:c r="F26" s="30" t="str">
        <x:f>'MASTER_QUEUE'!L202</x:f>
        <x:v>MassHire Cape &amp; Islands</x:v>
      </x:c>
      <x:c r="G26" s="30" t="str">
        <x:f>'MASTER_QUEUE'!M202</x:f>
        <x:v>[cite: 29, 33]</x:v>
      </x:c>
      <x:c r="H26" s="30" t="str">
        <x:f>IF('MASTER_QUEUE'!G202="","Recover during research","Provided")</x:f>
        <x:v>Recover during research</x:v>
      </x:c>
      <x:c r="I26" s="30" t="str">
        <x:f>'MASTER_QUEUE'!Y202</x:f>
        <x:v>Not Started</x:v>
      </x:c>
    </x:row>
    <x:row r="27" ht="22" customHeight="1">
      <x:c r="A27" s="96" t="n">
        <x:v>23</x:v>
      </x:c>
      <x:c r="B27" s="96" t="n">
        <x:v>203</x:v>
      </x:c>
      <x:c r="C27" s="30" t="str">
        <x:f>'MASTER_QUEUE'!A203</x:f>
        <x:v>Studio Enee</x:v>
      </x:c>
      <x:c r="D27" s="30" t="str">
        <x:f>'MASTER_QUEUE'!D203</x:f>
        <x:v>Boston</x:v>
      </x:c>
      <x:c r="E27" s="30" t="str">
        <x:f>'MASTER_QUEUE'!K203</x:f>
        <x:v>Employer / Grantee</x:v>
      </x:c>
      <x:c r="F27" s="30" t="str">
        <x:f>'MASTER_QUEUE'!L203</x:f>
        <x:v>MassHire Boston</x:v>
      </x:c>
      <x:c r="G27" s="30" t="str">
        <x:f>'MASTER_QUEUE'!M203</x:f>
        <x:v>[cite: 2, 5]</x:v>
      </x:c>
      <x:c r="H27" s="30" t="str">
        <x:f>IF('MASTER_QUEUE'!G203="","Recover during research","Provided")</x:f>
        <x:v>Recover during research</x:v>
      </x:c>
      <x:c r="I27" s="30" t="str">
        <x:f>'MASTER_QUEUE'!Y203</x:f>
        <x:v>Not Started</x:v>
      </x:c>
    </x:row>
    <x:row r="28" ht="22" customHeight="1">
      <x:c r="A28" s="96" t="n">
        <x:v>24</x:v>
      </x:c>
      <x:c r="B28" s="96" t="n">
        <x:v>204</x:v>
      </x:c>
      <x:c r="C28" s="30" t="str">
        <x:f>'MASTER_QUEUE'!A204</x:f>
        <x:v>Supreme Food Inc</x:v>
      </x:c>
      <x:c r="D28" s="30" t="str">
        <x:f>'MASTER_QUEUE'!D204</x:f>
        <x:v>Lynn</x:v>
      </x:c>
      <x:c r="E28" s="30" t="str">
        <x:f>'MASTER_QUEUE'!K204</x:f>
        <x:v>Employer / Grantee</x:v>
      </x:c>
      <x:c r="F28" s="30" t="str">
        <x:f>'MASTER_QUEUE'!L204</x:f>
        <x:v>MassHire North Shore</x:v>
      </x:c>
      <x:c r="G28" s="30" t="str">
        <x:f>'MASTER_QUEUE'!M204</x:f>
        <x:v>[cite: 27]</x:v>
      </x:c>
      <x:c r="H28" s="30" t="str">
        <x:f>IF('MASTER_QUEUE'!G204="","Recover during research","Provided")</x:f>
        <x:v>Recover during research</x:v>
      </x:c>
      <x:c r="I28" s="30" t="str">
        <x:f>'MASTER_QUEUE'!Y204</x:f>
        <x:v>Not Started</x:v>
      </x:c>
    </x:row>
    <x:row r="29" ht="22" customHeight="1">
      <x:c r="A29" s="96" t="n">
        <x:v>25</x:v>
      </x:c>
      <x:c r="B29" s="96" t="n">
        <x:v>205</x:v>
      </x:c>
      <x:c r="C29" s="30" t="str">
        <x:f>'MASTER_QUEUE'!A205</x:f>
        <x:v>Swissturn USA</x:v>
      </x:c>
      <x:c r="D29" s="30" t="str">
        <x:f>'MASTER_QUEUE'!D205</x:f>
        <x:v>Oxford</x:v>
      </x:c>
      <x:c r="E29" s="30" t="str">
        <x:f>'MASTER_QUEUE'!K205</x:f>
        <x:v>Employer / Grantee</x:v>
      </x:c>
      <x:c r="F29" s="30" t="str">
        <x:f>'MASTER_QUEUE'!L205</x:f>
        <x:v>MassHire Central MA</x:v>
      </x:c>
      <x:c r="G29" s="30" t="str">
        <x:f>'MASTER_QUEUE'!M205</x:f>
        <x:v>[cite: 29]</x:v>
      </x:c>
      <x:c r="H29" s="30" t="str">
        <x:f>IF('MASTER_QUEUE'!G205="","Recover during research","Provided")</x:f>
        <x:v>Recover during research</x:v>
      </x:c>
      <x:c r="I29" s="30" t="str">
        <x:f>'MASTER_QUEUE'!Y205</x:f>
        <x:v>Not Started</x:v>
      </x:c>
    </x:row>
    <x:row r="30" ht="22" customHeight="1">
      <x:c r="A30" s="96" t="n">
        <x:v>26</x:v>
      </x:c>
      <x:c r="B30" s="96" t="n">
        <x:v>206</x:v>
      </x:c>
      <x:c r="C30" s="30" t="str">
        <x:f>'MASTER_QUEUE'!A206</x:f>
        <x:v>Temptronic Corporation</x:v>
      </x:c>
      <x:c r="D30" s="30" t="str">
        <x:f>'MASTER_QUEUE'!D206</x:f>
        <x:v>Mansfield</x:v>
      </x:c>
      <x:c r="E30" s="30" t="str">
        <x:f>'MASTER_QUEUE'!K206</x:f>
        <x:v>Employer / Grantee</x:v>
      </x:c>
      <x:c r="F30" s="30" t="str">
        <x:f>'MASTER_QUEUE'!L206</x:f>
        <x:v>MassHire Bristol County</x:v>
      </x:c>
      <x:c r="G30" s="30" t="str">
        <x:f>'MASTER_QUEUE'!M206</x:f>
        <x:v>[cite: 2, 5]</x:v>
      </x:c>
      <x:c r="H30" s="30" t="str">
        <x:f>IF('MASTER_QUEUE'!G206="","Recover during research","Provided")</x:f>
        <x:v>Recover during research</x:v>
      </x:c>
      <x:c r="I30" s="30" t="str">
        <x:f>'MASTER_QUEUE'!Y206</x:f>
        <x:v>Not Started</x:v>
      </x:c>
    </x:row>
    <x:row r="31" ht="22" customHeight="1">
      <x:c r="A31" s="96" t="n">
        <x:v>27</x:v>
      </x:c>
      <x:c r="B31" s="96" t="n">
        <x:v>207</x:v>
      </x:c>
      <x:c r="C31" s="30" t="str">
        <x:f>'MASTER_QUEUE'!A207</x:f>
        <x:v>Terumo Cardiovascular Systems Corp</x:v>
      </x:c>
      <x:c r="D31" s="30" t="str">
        <x:f>'MASTER_QUEUE'!D207</x:f>
        <x:v>Ashland</x:v>
      </x:c>
      <x:c r="E31" s="30" t="str">
        <x:f>'MASTER_QUEUE'!K207</x:f>
        <x:v>Employer / Grantee</x:v>
      </x:c>
      <x:c r="F31" s="30" t="str">
        <x:f>'MASTER_QUEUE'!L207</x:f>
        <x:v>MassHire Metro South/West</x:v>
      </x:c>
      <x:c r="G31" s="30" t="str">
        <x:f>'MASTER_QUEUE'!M207</x:f>
        <x:v>[cite: 56]</x:v>
      </x:c>
      <x:c r="H31" s="30" t="str">
        <x:f>IF('MASTER_QUEUE'!G207="","Recover during research","Provided")</x:f>
        <x:v>Recover during research</x:v>
      </x:c>
      <x:c r="I31" s="30" t="str">
        <x:f>'MASTER_QUEUE'!Y207</x:f>
        <x:v>Not Started</x:v>
      </x:c>
    </x:row>
    <x:row r="32" ht="22" customHeight="1">
      <x:c r="A32" s="96" t="n">
        <x:v>28</x:v>
      </x:c>
      <x:c r="B32" s="96" t="n">
        <x:v>208</x:v>
      </x:c>
      <x:c r="C32" s="30" t="str">
        <x:f>'MASTER_QUEUE'!A208</x:f>
        <x:v>Textron Systems</x:v>
      </x:c>
      <x:c r="D32" s="30" t="str">
        <x:f>'MASTER_QUEUE'!D208</x:f>
        <x:v>Wilmington</x:v>
      </x:c>
      <x:c r="E32" s="30" t="str">
        <x:f>'MASTER_QUEUE'!K208</x:f>
        <x:v>Employer / Grantee</x:v>
      </x:c>
      <x:c r="F32" s="30" t="str">
        <x:f>'MASTER_QUEUE'!L208</x:f>
        <x:v>MassHire Metro North</x:v>
      </x:c>
      <x:c r="G32" s="30" t="str">
        <x:f>'MASTER_QUEUE'!M208</x:f>
        <x:v>[cite: 29]</x:v>
      </x:c>
      <x:c r="H32" s="30" t="str">
        <x:f>IF('MASTER_QUEUE'!G208="","Recover during research","Provided")</x:f>
        <x:v>Recover during research</x:v>
      </x:c>
      <x:c r="I32" s="30" t="str">
        <x:f>'MASTER_QUEUE'!Y208</x:f>
        <x:v>Not Started</x:v>
      </x:c>
    </x:row>
    <x:row r="33" ht="22" customHeight="1">
      <x:c r="A33" s="96" t="n">
        <x:v>29</x:v>
      </x:c>
      <x:c r="B33" s="96" t="n">
        <x:v>209</x:v>
      </x:c>
      <x:c r="C33" s="30" t="str">
        <x:f>'MASTER_QUEUE'!A209</x:f>
        <x:v>The Fenway Group</x:v>
      </x:c>
      <x:c r="D33" s="30" t="str">
        <x:f>'MASTER_QUEUE'!D209</x:f>
        <x:v>Boston</x:v>
      </x:c>
      <x:c r="E33" s="30" t="str">
        <x:f>'MASTER_QUEUE'!K209</x:f>
        <x:v>Employer / Grantee</x:v>
      </x:c>
      <x:c r="F33" s="30" t="str">
        <x:f>'MASTER_QUEUE'!L209</x:f>
        <x:v>MassHire Boston</x:v>
      </x:c>
      <x:c r="G33" s="30" t="str">
        <x:f>'MASTER_QUEUE'!M209</x:f>
        <x:v>[cite: 2]</x:v>
      </x:c>
      <x:c r="H33" s="30" t="str">
        <x:f>IF('MASTER_QUEUE'!G209="","Recover during research","Provided")</x:f>
        <x:v>Recover during research</x:v>
      </x:c>
      <x:c r="I33" s="30" t="str">
        <x:f>'MASTER_QUEUE'!Y209</x:f>
        <x:v>Not Started</x:v>
      </x:c>
    </x:row>
    <x:row r="34" ht="22" customHeight="1">
      <x:c r="A34" s="96" t="n">
        <x:v>30</x:v>
      </x:c>
      <x:c r="B34" s="96" t="n">
        <x:v>210</x:v>
      </x:c>
      <x:c r="C34" s="30" t="str">
        <x:f>'MASTER_QUEUE'!A210</x:f>
        <x:v>The Haynes Group</x:v>
      </x:c>
      <x:c r="D34" s="30" t="str">
        <x:f>'MASTER_QUEUE'!D210</x:f>
        <x:v>West Bridgewater</x:v>
      </x:c>
      <x:c r="E34" s="30" t="str">
        <x:f>'MASTER_QUEUE'!K210</x:f>
        <x:v>Employer / Grantee</x:v>
      </x:c>
      <x:c r="F34" s="30" t="str">
        <x:f>'MASTER_QUEUE'!L210</x:f>
        <x:v>MassHire Brockton</x:v>
      </x:c>
      <x:c r="G34" s="30" t="str">
        <x:f>'MASTER_QUEUE'!M210</x:f>
        <x:v>[cite: 28]</x:v>
      </x:c>
      <x:c r="H34" s="30" t="str">
        <x:f>IF('MASTER_QUEUE'!G210="","Recover during research","Provided")</x:f>
        <x:v>Recover during research</x:v>
      </x:c>
      <x:c r="I34" s="30" t="str">
        <x:f>'MASTER_QUEUE'!Y210</x:f>
        <x:v>Not Started</x:v>
      </x:c>
    </x:row>
    <x:row r="35" ht="22" customHeight="1">
      <x:c r="A35" s="96" t="n">
        <x:v>31</x:v>
      </x:c>
      <x:c r="B35" s="96" t="n">
        <x:v>211</x:v>
      </x:c>
      <x:c r="C35" s="30" t="str">
        <x:f>'MASTER_QUEUE'!A211</x:f>
        <x:v>TotalOffice Interiors</x:v>
      </x:c>
      <x:c r="D35" s="30" t="str">
        <x:f>'MASTER_QUEUE'!D211</x:f>
        <x:v>Boston</x:v>
      </x:c>
      <x:c r="E35" s="30" t="str">
        <x:f>'MASTER_QUEUE'!K211</x:f>
        <x:v>Employer / Grantee</x:v>
      </x:c>
      <x:c r="F35" s="30" t="str">
        <x:f>'MASTER_QUEUE'!L211</x:f>
        <x:v>MassHire Boston</x:v>
      </x:c>
      <x:c r="G35" s="30" t="str">
        <x:f>'MASTER_QUEUE'!M211</x:f>
        <x:v>[cite: 2]</x:v>
      </x:c>
      <x:c r="H35" s="30" t="str">
        <x:f>IF('MASTER_QUEUE'!G211="","Recover during research","Provided")</x:f>
        <x:v>Recover during research</x:v>
      </x:c>
      <x:c r="I35" s="30" t="str">
        <x:f>'MASTER_QUEUE'!Y211</x:f>
        <x:v>Not Started</x:v>
      </x:c>
    </x:row>
    <x:row r="36" ht="22" customHeight="1">
      <x:c r="A36" s="96" t="n">
        <x:v>32</x:v>
      </x:c>
      <x:c r="B36" s="96" t="n">
        <x:v>212</x:v>
      </x:c>
      <x:c r="C36" s="30" t="str">
        <x:f>'MASTER_QUEUE'!A212</x:f>
        <x:v>Trelleborg Sealing Solutions US</x:v>
      </x:c>
      <x:c r="D36" s="30" t="str">
        <x:f>'MASTER_QUEUE'!D212</x:f>
        <x:v>Northborough</x:v>
      </x:c>
      <x:c r="E36" s="30" t="str">
        <x:f>'MASTER_QUEUE'!K212</x:f>
        <x:v>Employer / Grantee</x:v>
      </x:c>
      <x:c r="F36" s="30" t="str">
        <x:f>'MASTER_QUEUE'!L212</x:f>
        <x:v>MassHire Central MA</x:v>
      </x:c>
      <x:c r="G36" s="30" t="str">
        <x:f>'MASTER_QUEUE'!M212</x:f>
        <x:v>[cite: 2, 5]</x:v>
      </x:c>
      <x:c r="H36" s="30" t="str">
        <x:f>IF('MASTER_QUEUE'!G212="","Recover during research","Provided")</x:f>
        <x:v>Recover during research</x:v>
      </x:c>
      <x:c r="I36" s="30" t="str">
        <x:f>'MASTER_QUEUE'!Y212</x:f>
        <x:v>Not Started</x:v>
      </x:c>
    </x:row>
    <x:row r="37" ht="22" customHeight="1">
      <x:c r="A37" s="96" t="n">
        <x:v>33</x:v>
      </x:c>
      <x:c r="B37" s="96" t="n">
        <x:v>213</x:v>
      </x:c>
      <x:c r="C37" s="30" t="str">
        <x:f>'MASTER_QUEUE'!A213</x:f>
        <x:v>Ulta Home Improvements</x:v>
      </x:c>
      <x:c r="D37" s="30" t="str">
        <x:f>'MASTER_QUEUE'!D213</x:f>
        <x:v>Ashland</x:v>
      </x:c>
      <x:c r="E37" s="30" t="str">
        <x:f>'MASTER_QUEUE'!K213</x:f>
        <x:v>Employer / Grantee</x:v>
      </x:c>
      <x:c r="F37" s="30" t="str">
        <x:f>'MASTER_QUEUE'!L213</x:f>
        <x:v>MassHire Metro South/West</x:v>
      </x:c>
      <x:c r="G37" s="30" t="str">
        <x:f>'MASTER_QUEUE'!M213</x:f>
        <x:v>[cite: 5]</x:v>
      </x:c>
      <x:c r="H37" s="30" t="str">
        <x:f>IF('MASTER_QUEUE'!G213="","Recover during research","Provided")</x:f>
        <x:v>Recover during research</x:v>
      </x:c>
      <x:c r="I37" s="30" t="str">
        <x:f>'MASTER_QUEUE'!Y213</x:f>
        <x:v>Not Started</x:v>
      </x:c>
    </x:row>
    <x:row r="38" ht="22" customHeight="1">
      <x:c r="A38" s="96" t="n">
        <x:v>34</x:v>
      </x:c>
      <x:c r="B38" s="96" t="n">
        <x:v>214</x:v>
      </x:c>
      <x:c r="C38" s="30" t="str">
        <x:f>'MASTER_QUEUE'!A214</x:f>
        <x:v>UNICOM Engineering</x:v>
      </x:c>
      <x:c r="D38" s="30" t="str">
        <x:f>'MASTER_QUEUE'!D214</x:f>
        <x:v>Canton</x:v>
      </x:c>
      <x:c r="E38" s="30" t="str">
        <x:f>'MASTER_QUEUE'!K214</x:f>
        <x:v>Employer / Grantee</x:v>
      </x:c>
      <x:c r="F38" s="30" t="str">
        <x:f>'MASTER_QUEUE'!L214</x:f>
        <x:v>MassHire South Shore</x:v>
      </x:c>
      <x:c r="G38" s="30" t="str">
        <x:f>'MASTER_QUEUE'!M214</x:f>
        <x:v>[cite: 27]</x:v>
      </x:c>
      <x:c r="H38" s="30" t="str">
        <x:f>IF('MASTER_QUEUE'!G214="","Recover during research","Provided")</x:f>
        <x:v>Recover during research</x:v>
      </x:c>
      <x:c r="I38" s="30" t="str">
        <x:f>'MASTER_QUEUE'!Y214</x:f>
        <x:v>Not Started</x:v>
      </x:c>
    </x:row>
    <x:row r="39" ht="22" customHeight="1">
      <x:c r="A39" s="96" t="n">
        <x:v>35</x:v>
      </x:c>
      <x:c r="B39" s="96" t="n">
        <x:v>215</x:v>
      </x:c>
      <x:c r="C39" s="30" t="str">
        <x:f>'MASTER_QUEUE'!A215</x:f>
        <x:v>Veranova</x:v>
      </x:c>
      <x:c r="D39" s="30" t="str">
        <x:f>'MASTER_QUEUE'!D215</x:f>
        <x:v>Devens</x:v>
      </x:c>
      <x:c r="E39" s="30" t="str">
        <x:f>'MASTER_QUEUE'!K215</x:f>
        <x:v>Employer / Grantee</x:v>
      </x:c>
      <x:c r="F39" s="30" t="str">
        <x:f>'MASTER_QUEUE'!L215</x:f>
        <x:v>MassHire Central MA</x:v>
      </x:c>
      <x:c r="G39" s="30" t="str">
        <x:f>'MASTER_QUEUE'!M215</x:f>
        <x:v>[cite: 5]</x:v>
      </x:c>
      <x:c r="H39" s="30" t="str">
        <x:f>IF('MASTER_QUEUE'!G215="","Recover during research","Provided")</x:f>
        <x:v>Recover during research</x:v>
      </x:c>
      <x:c r="I39" s="30" t="str">
        <x:f>'MASTER_QUEUE'!Y215</x:f>
        <x:v>Not Started</x:v>
      </x:c>
    </x:row>
    <x:row r="40" ht="22" customHeight="1">
      <x:c r="A40" s="96" t="n">
        <x:v>36</x:v>
      </x:c>
      <x:c r="B40" s="96" t="n">
        <x:v>216</x:v>
      </x:c>
      <x:c r="C40" s="30" t="str">
        <x:f>'MASTER_QUEUE'!A216</x:f>
        <x:v>Verc Enterprises, Inc.</x:v>
      </x:c>
      <x:c r="D40" s="30" t="str">
        <x:f>'MASTER_QUEUE'!D216</x:f>
        <x:v>Duxbury</x:v>
      </x:c>
      <x:c r="E40" s="30" t="str">
        <x:f>'MASTER_QUEUE'!K216</x:f>
        <x:v>Employer / Grantee</x:v>
      </x:c>
      <x:c r="F40" s="30" t="str">
        <x:f>'MASTER_QUEUE'!L216</x:f>
        <x:v>MassHire South Shore</x:v>
      </x:c>
      <x:c r="G40" s="30" t="str">
        <x:f>'MASTER_QUEUE'!M216</x:f>
        <x:v>[cite: 56]</x:v>
      </x:c>
      <x:c r="H40" s="30" t="str">
        <x:f>IF('MASTER_QUEUE'!G216="","Recover during research","Provided")</x:f>
        <x:v>Recover during research</x:v>
      </x:c>
      <x:c r="I40" s="30" t="str">
        <x:f>'MASTER_QUEUE'!Y216</x:f>
        <x:v>Not Started</x:v>
      </x:c>
    </x:row>
    <x:row r="41" ht="22" customHeight="1">
      <x:c r="A41" s="96" t="n">
        <x:v>37</x:v>
      </x:c>
      <x:c r="B41" s="96" t="n">
        <x:v>217</x:v>
      </x:c>
      <x:c r="C41" s="30" t="str">
        <x:f>'MASTER_QUEUE'!A217</x:f>
        <x:v>Vicor Corp</x:v>
      </x:c>
      <x:c r="D41" s="30" t="str">
        <x:f>'MASTER_QUEUE'!D217</x:f>
        <x:v>Andover</x:v>
      </x:c>
      <x:c r="E41" s="30" t="str">
        <x:f>'MASTER_QUEUE'!K217</x:f>
        <x:v>Employer / Grantee</x:v>
      </x:c>
      <x:c r="F41" s="30" t="str">
        <x:f>'MASTER_QUEUE'!L217</x:f>
        <x:v>MassHire Merrimack Valley</x:v>
      </x:c>
      <x:c r="G41" s="30" t="str">
        <x:f>'MASTER_QUEUE'!M217</x:f>
        <x:v>[cite: 56]</x:v>
      </x:c>
      <x:c r="H41" s="30" t="str">
        <x:f>IF('MASTER_QUEUE'!G217="","Recover during research","Provided")</x:f>
        <x:v>Recover during research</x:v>
      </x:c>
      <x:c r="I41" s="30" t="str">
        <x:f>'MASTER_QUEUE'!Y217</x:f>
        <x:v>Not Started</x:v>
      </x:c>
    </x:row>
    <x:row r="42" ht="22" customHeight="1">
      <x:c r="A42" s="96" t="n">
        <x:v>38</x:v>
      </x:c>
      <x:c r="B42" s="96" t="n">
        <x:v>218</x:v>
      </x:c>
      <x:c r="C42" s="30" t="str">
        <x:f>'MASTER_QUEUE'!A218</x:f>
        <x:v>Vivonics, Inc.</x:v>
      </x:c>
      <x:c r="D42" s="30" t="str">
        <x:f>'MASTER_QUEUE'!D218</x:f>
        <x:v>Bedford</x:v>
      </x:c>
      <x:c r="E42" s="30" t="str">
        <x:f>'MASTER_QUEUE'!K218</x:f>
        <x:v>Employer / Grantee</x:v>
      </x:c>
      <x:c r="F42" s="30" t="str">
        <x:f>'MASTER_QUEUE'!L218</x:f>
        <x:v>MassHire Metro North</x:v>
      </x:c>
      <x:c r="G42" s="30" t="str">
        <x:f>'MASTER_QUEUE'!M218</x:f>
        <x:v>[cite: 56]</x:v>
      </x:c>
      <x:c r="H42" s="30" t="str">
        <x:f>IF('MASTER_QUEUE'!G218="","Recover during research","Provided")</x:f>
        <x:v>Recover during research</x:v>
      </x:c>
      <x:c r="I42" s="30" t="str">
        <x:f>'MASTER_QUEUE'!Y218</x:f>
        <x:v>Not Started</x:v>
      </x:c>
    </x:row>
    <x:row r="43" ht="22" customHeight="1">
      <x:c r="A43" s="96" t="n">
        <x:v>39</x:v>
      </x:c>
      <x:c r="B43" s="96" t="n">
        <x:v>219</x:v>
      </x:c>
      <x:c r="C43" s="30" t="str">
        <x:f>'MASTER_QUEUE'!A219</x:f>
        <x:v>WareRite</x:v>
      </x:c>
      <x:c r="D43" s="30" t="str">
        <x:f>'MASTER_QUEUE'!D219</x:f>
        <x:v>East Bridgewater</x:v>
      </x:c>
      <x:c r="E43" s="30" t="str">
        <x:f>'MASTER_QUEUE'!K219</x:f>
        <x:v>Employer / Grantee</x:v>
      </x:c>
      <x:c r="F43" s="30" t="str">
        <x:f>'MASTER_QUEUE'!L219</x:f>
        <x:v>MassHire Brockton</x:v>
      </x:c>
      <x:c r="G43" s="30" t="str">
        <x:f>'MASTER_QUEUE'!M219</x:f>
        <x:v>[cite: 2, 5]</x:v>
      </x:c>
      <x:c r="H43" s="30" t="str">
        <x:f>IF('MASTER_QUEUE'!G219="","Recover during research","Provided")</x:f>
        <x:v>Recover during research</x:v>
      </x:c>
      <x:c r="I43" s="30" t="str">
        <x:f>'MASTER_QUEUE'!Y219</x:f>
        <x:v>Not Started</x:v>
      </x:c>
    </x:row>
    <x:row r="44" ht="22" customHeight="1">
      <x:c r="A44" s="96" t="n">
        <x:v>40</x:v>
      </x:c>
      <x:c r="B44" s="96" t="n">
        <x:v>220</x:v>
      </x:c>
      <x:c r="C44" s="30" t="str">
        <x:f>'MASTER_QUEUE'!A220</x:f>
        <x:v>Wash Cycle Laundry</x:v>
      </x:c>
      <x:c r="D44" s="30" t="str">
        <x:f>'MASTER_QUEUE'!D220</x:f>
        <x:v>Lynn</x:v>
      </x:c>
      <x:c r="E44" s="30" t="str">
        <x:f>'MASTER_QUEUE'!K220</x:f>
        <x:v>Employer / Grantee</x:v>
      </x:c>
      <x:c r="F44" s="30" t="str">
        <x:f>'MASTER_QUEUE'!L220</x:f>
        <x:v>MassHire North Shore</x:v>
      </x:c>
      <x:c r="G44" s="30" t="str">
        <x:f>'MASTER_QUEUE'!M220</x:f>
        <x:v>[cite: 27]</x:v>
      </x:c>
      <x:c r="H44" s="30" t="str">
        <x:f>IF('MASTER_QUEUE'!G220="","Recover during research","Provided")</x:f>
        <x:v>Recover during research</x:v>
      </x:c>
      <x:c r="I44" s="30" t="str">
        <x:f>'MASTER_QUEUE'!Y220</x:f>
        <x:v>Not Started</x:v>
      </x:c>
    </x:row>
    <x:row r="45" ht="22" customHeight="1">
      <x:c r="A45" s="96" t="n">
        <x:v>41</x:v>
      </x:c>
      <x:c r="B45" s="96" t="n">
        <x:v>221</x:v>
      </x:c>
      <x:c r="C45" s="30" t="str">
        <x:f>'MASTER_QUEUE'!A221</x:f>
        <x:v>Wave Life Sciences USA, Inc.</x:v>
      </x:c>
      <x:c r="D45" s="30" t="str">
        <x:f>'MASTER_QUEUE'!D221</x:f>
        <x:v>Cambridge</x:v>
      </x:c>
      <x:c r="E45" s="30" t="str">
        <x:f>'MASTER_QUEUE'!K221</x:f>
        <x:v>Employer / Grantee</x:v>
      </x:c>
      <x:c r="F45" s="30" t="str">
        <x:f>'MASTER_QUEUE'!L221</x:f>
        <x:v>MassHire Metro North</x:v>
      </x:c>
      <x:c r="G45" s="30" t="str">
        <x:f>'MASTER_QUEUE'!M221</x:f>
        <x:v>[cite: 56]</x:v>
      </x:c>
      <x:c r="H45" s="30" t="str">
        <x:f>IF('MASTER_QUEUE'!G221="","Recover during research","Provided")</x:f>
        <x:v>Recover during research</x:v>
      </x:c>
      <x:c r="I45" s="30" t="str">
        <x:f>'MASTER_QUEUE'!Y221</x:f>
        <x:v>Not Started</x:v>
      </x:c>
    </x:row>
    <x:row r="46" ht="22" customHeight="1">
      <x:c r="A46" s="96" t="n">
        <x:v>42</x:v>
      </x:c>
      <x:c r="B46" s="96" t="n">
        <x:v>222</x:v>
      </x:c>
      <x:c r="C46" s="30" t="str">
        <x:f>'MASTER_QUEUE'!A222</x:f>
        <x:v>WeCare 365</x:v>
      </x:c>
      <x:c r="D46" s="30" t="str">
        <x:f>'MASTER_QUEUE'!D222</x:f>
        <x:v>Brockton</x:v>
      </x:c>
      <x:c r="E46" s="30" t="str">
        <x:f>'MASTER_QUEUE'!K222</x:f>
        <x:v>Employer / Grantee</x:v>
      </x:c>
      <x:c r="F46" s="30" t="str">
        <x:f>'MASTER_QUEUE'!L222</x:f>
        <x:v>MassHire Brockton</x:v>
      </x:c>
      <x:c r="G46" s="30" t="str">
        <x:f>'MASTER_QUEUE'!M222</x:f>
        <x:v>[cite: 2, 5]</x:v>
      </x:c>
      <x:c r="H46" s="30" t="str">
        <x:f>IF('MASTER_QUEUE'!G222="","Recover during research","Provided")</x:f>
        <x:v>Recover during research</x:v>
      </x:c>
      <x:c r="I46" s="30" t="str">
        <x:f>'MASTER_QUEUE'!Y222</x:f>
        <x:v>Not Started</x:v>
      </x:c>
    </x:row>
    <x:row r="47" ht="22" customHeight="1">
      <x:c r="A47" s="96" t="n">
        <x:v>43</x:v>
      </x:c>
      <x:c r="B47" s="96" t="n">
        <x:v>223</x:v>
      </x:c>
      <x:c r="C47" s="30" t="str">
        <x:f>'MASTER_QUEUE'!A223</x:f>
        <x:v>Webster Five</x:v>
      </x:c>
      <x:c r="D47" s="30" t="str">
        <x:f>'MASTER_QUEUE'!D223</x:f>
        <x:v>Auburn</x:v>
      </x:c>
      <x:c r="E47" s="30" t="str">
        <x:f>'MASTER_QUEUE'!K223</x:f>
        <x:v>Employer / Grantee</x:v>
      </x:c>
      <x:c r="F47" s="30" t="str">
        <x:f>'MASTER_QUEUE'!L223</x:f>
        <x:v>MassHire Central MA</x:v>
      </x:c>
      <x:c r="G47" s="30" t="str">
        <x:f>'MASTER_QUEUE'!M223</x:f>
        <x:v>[cite: 56]</x:v>
      </x:c>
      <x:c r="H47" s="30" t="str">
        <x:f>IF('MASTER_QUEUE'!G223="","Recover during research","Provided")</x:f>
        <x:v>Recover during research</x:v>
      </x:c>
      <x:c r="I47" s="30" t="str">
        <x:f>'MASTER_QUEUE'!Y223</x:f>
        <x:v>Not Started</x:v>
      </x:c>
    </x:row>
    <x:row r="48" ht="22" customHeight="1">
      <x:c r="A48" s="96" t="n">
        <x:v>44</x:v>
      </x:c>
      <x:c r="B48" s="96" t="n">
        <x:v>224</x:v>
      </x:c>
      <x:c r="C48" s="30" t="str">
        <x:f>'MASTER_QUEUE'!A224</x:f>
        <x:v>Westfield Bank</x:v>
      </x:c>
      <x:c r="D48" s="30" t="str">
        <x:f>'MASTER_QUEUE'!D224</x:f>
        <x:v>Westfield</x:v>
      </x:c>
      <x:c r="E48" s="30" t="str">
        <x:f>'MASTER_QUEUE'!K224</x:f>
        <x:v>Employer / Grantee</x:v>
      </x:c>
      <x:c r="F48" s="30" t="str">
        <x:f>'MASTER_QUEUE'!L224</x:f>
        <x:v>MassHire Hampden</x:v>
      </x:c>
      <x:c r="G48" s="30" t="str">
        <x:f>'MASTER_QUEUE'!M224</x:f>
        <x:v>[cite: 29]</x:v>
      </x:c>
      <x:c r="H48" s="30" t="str">
        <x:f>IF('MASTER_QUEUE'!G224="","Recover during research","Provided")</x:f>
        <x:v>Recover during research</x:v>
      </x:c>
      <x:c r="I48" s="30" t="str">
        <x:f>'MASTER_QUEUE'!Y224</x:f>
        <x:v>Not Started</x:v>
      </x:c>
    </x:row>
    <x:row r="49" ht="22" customHeight="1">
      <x:c r="A49" s="96" t="n">
        <x:v>45</x:v>
      </x:c>
      <x:c r="B49" s="96" t="n">
        <x:v>225</x:v>
      </x:c>
      <x:c r="C49" s="30" t="str">
        <x:f>'MASTER_QUEUE'!A225</x:f>
        <x:v>WestRock</x:v>
      </x:c>
      <x:c r="D49" s="30" t="str">
        <x:f>'MASTER_QUEUE'!D225</x:f>
        <x:v>Devens</x:v>
      </x:c>
      <x:c r="E49" s="30" t="str">
        <x:f>'MASTER_QUEUE'!K225</x:f>
        <x:v>Employer / Grantee</x:v>
      </x:c>
      <x:c r="F49" s="30" t="str">
        <x:f>'MASTER_QUEUE'!L225</x:f>
        <x:v>MassHire Central MA</x:v>
      </x:c>
      <x:c r="G49" s="30" t="str">
        <x:f>'MASTER_QUEUE'!M225</x:f>
        <x:v>[cite: 29, 33]</x:v>
      </x:c>
      <x:c r="H49" s="30" t="str">
        <x:f>IF('MASTER_QUEUE'!G225="","Recover during research","Provided")</x:f>
        <x:v>Recover during research</x:v>
      </x:c>
      <x:c r="I49" s="30" t="str">
        <x:f>'MASTER_QUEUE'!Y225</x:f>
        <x:v>Not Started</x:v>
      </x:c>
    </x:row>
    <x:row r="50" ht="22" customHeight="1">
      <x:c r="A50" s="96" t="n">
        <x:v>46</x:v>
      </x:c>
      <x:c r="B50" s="96" t="n">
        <x:v>226</x:v>
      </x:c>
      <x:c r="C50" s="30" t="str">
        <x:f>'MASTER_QUEUE'!A226</x:f>
        <x:v>Whitin Community Center</x:v>
      </x:c>
      <x:c r="D50" s="30" t="str">
        <x:f>'MASTER_QUEUE'!D226</x:f>
        <x:v>Whitinsville</x:v>
      </x:c>
      <x:c r="E50" s="30" t="str">
        <x:f>'MASTER_QUEUE'!K226</x:f>
        <x:v>Employer / Grantee</x:v>
      </x:c>
      <x:c r="F50" s="30" t="str">
        <x:f>'MASTER_QUEUE'!L226</x:f>
        <x:v>MassHire Central MA</x:v>
      </x:c>
      <x:c r="G50" s="30" t="str">
        <x:f>'MASTER_QUEUE'!M226</x:f>
        <x:v>[cite: 29]</x:v>
      </x:c>
      <x:c r="H50" s="30" t="str">
        <x:f>IF('MASTER_QUEUE'!G226="","Recover during research","Provided")</x:f>
        <x:v>Recover during research</x:v>
      </x:c>
      <x:c r="I50" s="30" t="str">
        <x:f>'MASTER_QUEUE'!Y226</x:f>
        <x:v>Not Started</x:v>
      </x:c>
    </x:row>
    <x:row r="51" ht="22" customHeight="1">
      <x:c r="A51" s="96" t="n">
        <x:v>47</x:v>
      </x:c>
      <x:c r="B51" s="96" t="n">
        <x:v>227</x:v>
      </x:c>
      <x:c r="C51" s="30" t="str">
        <x:f>'MASTER_QUEUE'!A227</x:f>
        <x:v>Wirefab</x:v>
      </x:c>
      <x:c r="D51" s="30" t="str">
        <x:f>'MASTER_QUEUE'!D227</x:f>
        <x:v>Worcester</x:v>
      </x:c>
      <x:c r="E51" s="30" t="str">
        <x:f>'MASTER_QUEUE'!K227</x:f>
        <x:v>Employer / Grantee</x:v>
      </x:c>
      <x:c r="F51" s="30" t="str">
        <x:f>'MASTER_QUEUE'!L227</x:f>
        <x:v>MassHire Central MA</x:v>
      </x:c>
      <x:c r="G51" s="30" t="str">
        <x:f>'MASTER_QUEUE'!M227</x:f>
        <x:v>[cite: 27]</x:v>
      </x:c>
      <x:c r="H51" s="30" t="str">
        <x:f>IF('MASTER_QUEUE'!G227="","Recover during research","Provided")</x:f>
        <x:v>Recover during research</x:v>
      </x:c>
      <x:c r="I51" s="30" t="str">
        <x:f>'MASTER_QUEUE'!Y227</x:f>
        <x:v>Not Started</x:v>
      </x:c>
    </x:row>
    <x:row r="52" ht="22" customHeight="1">
      <x:c r="A52" s="96" t="n">
        <x:v>48</x:v>
      </x:c>
      <x:c r="B52" s="96" t="n">
        <x:v>228</x:v>
      </x:c>
      <x:c r="C52" s="30" t="str">
        <x:f>'MASTER_QUEUE'!A228</x:f>
        <x:v>Wolf &amp; Company, P.C.</x:v>
      </x:c>
      <x:c r="D52" s="30" t="str">
        <x:f>'MASTER_QUEUE'!D228</x:f>
        <x:v>Boston</x:v>
      </x:c>
      <x:c r="E52" s="30" t="str">
        <x:f>'MASTER_QUEUE'!K228</x:f>
        <x:v>Employer / Grantee</x:v>
      </x:c>
      <x:c r="F52" s="30" t="str">
        <x:f>'MASTER_QUEUE'!L228</x:f>
        <x:v>MassHire Boston</x:v>
      </x:c>
      <x:c r="G52" s="30" t="str">
        <x:f>'MASTER_QUEUE'!M228</x:f>
        <x:v>[cite: 56]</x:v>
      </x:c>
      <x:c r="H52" s="30" t="str">
        <x:f>IF('MASTER_QUEUE'!G228="","Recover during research","Provided")</x:f>
        <x:v>Recover during research</x:v>
      </x:c>
      <x:c r="I52" s="30" t="str">
        <x:f>'MASTER_QUEUE'!Y228</x:f>
        <x:v>Not Started</x:v>
      </x:c>
    </x:row>
    <x:row r="53" ht="22" customHeight="1">
      <x:c r="A53" s="96" t="n">
        <x:v>49</x:v>
      </x:c>
      <x:c r="B53" s="96" t="n">
        <x:v>229</x:v>
      </x:c>
      <x:c r="C53" s="30" t="str">
        <x:f>'MASTER_QUEUE'!A229</x:f>
        <x:v>Worcester Envelope Company</x:v>
      </x:c>
      <x:c r="D53" s="30" t="str">
        <x:f>'MASTER_QUEUE'!D229</x:f>
        <x:v>Worcester</x:v>
      </x:c>
      <x:c r="E53" s="30" t="str">
        <x:f>'MASTER_QUEUE'!K229</x:f>
        <x:v>Employer / Grantee</x:v>
      </x:c>
      <x:c r="F53" s="30" t="str">
        <x:f>'MASTER_QUEUE'!L229</x:f>
        <x:v>MassHire Central MA</x:v>
      </x:c>
      <x:c r="G53" s="30" t="str">
        <x:f>'MASTER_QUEUE'!M229</x:f>
        <x:v>[cite: 56]</x:v>
      </x:c>
      <x:c r="H53" s="30" t="str">
        <x:f>IF('MASTER_QUEUE'!G229="","Recover during research","Provided")</x:f>
        <x:v>Recover during research</x:v>
      </x:c>
      <x:c r="I53" s="30" t="str">
        <x:f>'MASTER_QUEUE'!Y229</x:f>
        <x:v>Not Started</x:v>
      </x:c>
    </x:row>
    <x:row r="54" ht="22" customHeight="1">
      <x:c r="A54" s="97" t="n">
        <x:v>50</x:v>
      </x:c>
      <x:c r="B54" s="97" t="n">
        <x:v>230</x:v>
      </x:c>
      <x:c r="C54" s="31" t="str">
        <x:f>'MASTER_QUEUE'!A230</x:f>
        <x:v>Wrentham Tool Group Inc.</x:v>
      </x:c>
      <x:c r="D54" s="31" t="str">
        <x:f>'MASTER_QUEUE'!D230</x:f>
        <x:v>Bellingham</x:v>
      </x:c>
      <x:c r="E54" s="31" t="str">
        <x:f>'MASTER_QUEUE'!K230</x:f>
        <x:v>Employer / Grantee</x:v>
      </x:c>
      <x:c r="F54" s="31" t="str">
        <x:f>'MASTER_QUEUE'!L230</x:f>
        <x:v>MassHire Central MA</x:v>
      </x:c>
      <x:c r="G54" s="31" t="str">
        <x:f>'MASTER_QUEUE'!M230</x:f>
        <x:v>[cite: 56]</x:v>
      </x:c>
      <x:c r="H54" s="31" t="str">
        <x:f>IF('MASTER_QUEUE'!G230="","Recover during research","Provided")</x:f>
        <x:v>Recover during research</x:v>
      </x:c>
      <x:c r="I54" s="31" t="str">
        <x:f>'MASTER_QUEUE'!Y230</x:f>
        <x:v>Not Started</x:v>
      </x:c>
    </x:row>
  </x:sheetData>
  <x:mergeCells>
    <x:mergeCell ref="A1:I1"/>
    <x:mergeCell ref="A2:I2"/>
  </x:mergeCells>
  <x:conditionalFormatting sqref="H5:H54">
    <x:cfRule type="containsText" dxfId="11" priority="1" operator="containsText" text="Recover"/>
  </x:conditionalFormatting>
  <x:conditionalFormatting sqref="I5:I54">
    <x:cfRule type="containsText" dxfId="12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31554741a5d44b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8" hidden="0" customWidth="1"/>
    <x:col min="4" max="4" width="34" hidden="0" customWidth="1"/>
    <x:col min="5" max="5" width="34" hidden="0" customWidth="1"/>
    <x:col min="6" max="6" width="34" hidden="0" customWidth="1"/>
    <x:col min="7" max="7" width="16" hidden="0" customWidth="1"/>
    <x:col min="8" max="8" width="18" hidden="0" customWidth="1"/>
    <x:col min="9" max="9" width="17" hidden="0" customWidth="1"/>
    <x:col min="10" max="10" width="17" hidden="0" customWidth="1"/>
    <x:col min="11" max="11" width="42" hidden="0" customWidth="1"/>
    <x:col min="12" max="12" width="34" hidden="0" customWidth="1"/>
  </x:cols>
  <x:sheetData>
    <x:row r="1">
      <x:c r="A1" s="3" t="str">
        <x:v>Hold review queue (29)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7" t="str">
        <x:v>These education- or institution-led records are excluded from the employer campaign unless manually promoted.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9" t="str">
        <x:v>company</x:v>
      </x:c>
      <x:c r="B4" s="20" t="str">
        <x:v>city</x:v>
      </x:c>
      <x:c r="C4" s="20" t="str">
        <x:v>state</x:v>
      </x:c>
      <x:c r="D4" s="20" t="str">
        <x:v>holdCategory</x:v>
      </x:c>
      <x:c r="E4" s="20" t="str">
        <x:v>pathways</x:v>
      </x:c>
      <x:c r="F4" s="20" t="str">
        <x:v>partners</x:v>
      </x:c>
      <x:c r="G4" s="20" t="str">
        <x:v>awardAmount</x:v>
      </x:c>
      <x:c r="H4" s="20" t="str">
        <x:v>sourceCitation</x:v>
      </x:c>
      <x:c r="I4" s="20" t="str">
        <x:v>sourceDocument</x:v>
      </x:c>
      <x:c r="J4" s="20" t="str">
        <x:v>reviewStatus</x:v>
      </x:c>
      <x:c r="K4" s="20" t="str">
        <x:v>holdReason</x:v>
      </x:c>
      <x:c r="L4" s="21" t="str">
        <x:v>researchNotes</x:v>
      </x:c>
    </x:row>
    <x:row r="5" ht="22" customHeight="1">
      <x:c r="A5" s="29" t="str">
        <x:v>Assabet Valley Regional Vocational School District</x:v>
      </x:c>
      <x:c r="B5" s="29" t="str">
        <x:v>Marlborough</x:v>
      </x:c>
      <x:c r="C5" s="29" t="str">
        <x:v>MA</x:v>
      </x:c>
      <x:c r="D5" s="29" t="str">
        <x:v>Career Technical Initiative School</x:v>
      </x:c>
      <x:c r="E5" s="29" t="str">
        <x:v>Automotive, CNC Machining, HVAC, Welding, Electrical</x:v>
      </x:c>
      <x:c r="F5" s="29" t="str">
        <x:v>Lincoln Tool, Phillips Precision, FW Webb, CSI Group, Bowline</x:v>
      </x:c>
      <x:c r="G5" s="86" t="n">
        <x:v>809930.05</x:v>
      </x:c>
      <x:c r="H5" s="29" t="str">
        <x:v>[cite: 58]</x:v>
      </x:c>
      <x:c r="I5" s="29" t="str">
        <x:v>Gemini.docx</x:v>
      </x:c>
      <x:c r="J5" s="29" t="str">
        <x:v>Hold</x:v>
      </x:c>
      <x:c r="K5" s="29" t="str">
        <x:v>Institutional or education-led record. Review manually before promoting it into the employer campaign.</x:v>
      </x:c>
      <x:c r="L5" s="29" t="str"/>
    </x:row>
    <x:row r="6" ht="22" customHeight="1">
      <x:c r="A6" s="30" t="str">
        <x:v>Attleboro High School</x:v>
      </x:c>
      <x:c r="B6" s="30" t="str">
        <x:v>Attleboro</x:v>
      </x:c>
      <x:c r="C6" s="30" t="str">
        <x:v>MA</x:v>
      </x:c>
      <x:c r="D6" s="30" t="str">
        <x:v>Career Technical Initiative School</x:v>
      </x:c>
      <x:c r="E6" s="30" t="str">
        <x:v>Welding, HVAC, Plumbing, Automotive Technology</x:v>
      </x:c>
      <x:c r="F6" s="30" t="str">
        <x:v>Engineered Materials Solutions, SpeeDee Oil, Cross Street Auto</x:v>
      </x:c>
      <x:c r="G6" s="87" t="n">
        <x:v>907950</x:v>
      </x:c>
      <x:c r="H6" s="30" t="str">
        <x:v>[cite: 58]</x:v>
      </x:c>
      <x:c r="I6" s="30" t="str">
        <x:v>Gemini.docx</x:v>
      </x:c>
      <x:c r="J6" s="30" t="str">
        <x:v>Hold</x:v>
      </x:c>
      <x:c r="K6" s="30" t="str">
        <x:v>Institutional or education-led record. Review manually before promoting it into the employer campaign.</x:v>
      </x:c>
      <x:c r="L6" s="30" t="str"/>
    </x:row>
    <x:row r="7" ht="22" customHeight="1">
      <x:c r="A7" s="30" t="str">
        <x:v>Blue Hills Regional Technical School</x:v>
      </x:c>
      <x:c r="B7" s="30" t="str">
        <x:v>Canton</x:v>
      </x:c>
      <x:c r="C7" s="30" t="str">
        <x:v>MA</x:v>
      </x:c>
      <x:c r="D7" s="30" t="str">
        <x:v>Career Technical Initiative School</x:v>
      </x:c>
      <x:c r="E7" s="30" t="str">
        <x:v>Building Maintenance operations and tools</x:v>
      </x:c>
      <x:c r="F7" s="30" t="str">
        <x:v>Cox Engineering, Forge Team, TG Gallagher, 88 Acres Foods</x:v>
      </x:c>
      <x:c r="G7" s="87" t="n">
        <x:v>490000</x:v>
      </x:c>
      <x:c r="H7" s="30" t="str">
        <x:v>[cite: 58]</x:v>
      </x:c>
      <x:c r="I7" s="30" t="str">
        <x:v>Gemini.docx</x:v>
      </x:c>
      <x:c r="J7" s="30" t="str">
        <x:v>Hold</x:v>
      </x:c>
      <x:c r="K7" s="30" t="str">
        <x:v>Institutional or education-led record. Review manually before promoting it into the employer campaign.</x:v>
      </x:c>
      <x:c r="L7" s="30" t="str"/>
    </x:row>
    <x:row r="8" ht="22" customHeight="1">
      <x:c r="A8" s="30" t="str">
        <x:v>Bristol-Plymouth Regional Technical School</x:v>
      </x:c>
      <x:c r="B8" s="30" t="str">
        <x:v>Taunton</x:v>
      </x:c>
      <x:c r="C8" s="30" t="str">
        <x:v>MA</x:v>
      </x:c>
      <x:c r="D8" s="30" t="str">
        <x:v>Career Technical Initiative School</x:v>
      </x:c>
      <x:c r="E8" s="30" t="str">
        <x:v>Precision Industrial Welding installations</x:v>
      </x:c>
      <x:c r="F8" s="30" t="str">
        <x:v>Wayne's Sheet Metal, Green Brothers, Brouillette HVAC</x:v>
      </x:c>
      <x:c r="G8" s="87" t="n">
        <x:v>106000</x:v>
      </x:c>
      <x:c r="H8" s="30" t="str">
        <x:v>[cite: 58]</x:v>
      </x:c>
      <x:c r="I8" s="30" t="str">
        <x:v>Gemini.docx</x:v>
      </x:c>
      <x:c r="J8" s="30" t="str">
        <x:v>Hold</x:v>
      </x:c>
      <x:c r="K8" s="30" t="str">
        <x:v>Institutional or education-led record. Review manually before promoting it into the employer campaign.</x:v>
      </x:c>
      <x:c r="L8" s="30" t="str"/>
    </x:row>
    <x:row r="9" ht="22" customHeight="1">
      <x:c r="A9" s="30" t="str">
        <x:v>Essex North Shore Agricultural &amp; Technical School</x:v>
      </x:c>
      <x:c r="B9" s="30" t="str">
        <x:v>Danvers</x:v>
      </x:c>
      <x:c r="C9" s="30" t="str">
        <x:v>MA</x:v>
      </x:c>
      <x:c r="D9" s="30" t="str">
        <x:v>Career Technical Initiative School</x:v>
      </x:c>
      <x:c r="E9" s="30" t="str">
        <x:v>BioLab Tech, CNC Machinist, Electromechanical, HVAC</x:v>
      </x:c>
      <x:c r="F9" s="30" t="str">
        <x:v>Acura of Peabody, Kelly Auto, New England BioLabs, Star Const</x:v>
      </x:c>
      <x:c r="G9" s="87" t="n">
        <x:v>2000000</x:v>
      </x:c>
      <x:c r="H9" s="30" t="str">
        <x:v>[cite: 58]</x:v>
      </x:c>
      <x:c r="I9" s="30" t="str">
        <x:v>Gemini.docx</x:v>
      </x:c>
      <x:c r="J9" s="30" t="str">
        <x:v>Hold</x:v>
      </x:c>
      <x:c r="K9" s="30" t="str">
        <x:v>Institutional or education-led record. Review manually before promoting it into the employer campaign.</x:v>
      </x:c>
      <x:c r="L9" s="30" t="str"/>
    </x:row>
    <x:row r="10" ht="22" customHeight="1">
      <x:c r="A10" s="30" t="str">
        <x:v>Greater Lowell Technical High School</x:v>
      </x:c>
      <x:c r="B10" s="30" t="str">
        <x:v>Tyngsborough</x:v>
      </x:c>
      <x:c r="C10" s="30" t="str">
        <x:v>MA</x:v>
      </x:c>
      <x:c r="D10" s="30" t="str">
        <x:v>Career Technical Initiative School</x:v>
      </x:c>
      <x:c r="E10" s="30" t="str">
        <x:v>Commercial Electrical, Welding, Carpentry</x:v>
      </x:c>
      <x:c r="F10" s="30" t="str">
        <x:v>Gaspari Inc, Medford Wellington, Lowell Iron &amp; Steel</x:v>
      </x:c>
      <x:c r="G10" s="87" t="n">
        <x:v>480000</x:v>
      </x:c>
      <x:c r="H10" s="30" t="str">
        <x:v>[cite: 58]</x:v>
      </x:c>
      <x:c r="I10" s="30" t="str">
        <x:v>Gemini.docx</x:v>
      </x:c>
      <x:c r="J10" s="30" t="str">
        <x:v>Hold</x:v>
      </x:c>
      <x:c r="K10" s="30" t="str">
        <x:v>Institutional or education-led record. Review manually before promoting it into the employer campaign.</x:v>
      </x:c>
      <x:c r="L10" s="30" t="str"/>
    </x:row>
    <x:row r="11" ht="22" customHeight="1">
      <x:c r="A11" s="30" t="str">
        <x:v>Greater New Bedford Regional Vocational Technical</x:v>
      </x:c>
      <x:c r="B11" s="30" t="str">
        <x:v>New Bedford</x:v>
      </x:c>
      <x:c r="C11" s="30" t="str">
        <x:v>MA</x:v>
      </x:c>
      <x:c r="D11" s="30" t="str">
        <x:v>Career Technical Initiative School</x:v>
      </x:c>
      <x:c r="E11" s="30" t="str">
        <x:v>Welding, Automotive, and Marine Technologies</x:v>
      </x:c>
      <x:c r="F11" s="30" t="str">
        <x:v>Toyota of Dartmouth, Community Boating Center, Drew's Marine</x:v>
      </x:c>
      <x:c r="G11" s="87" t="n">
        <x:v>360000</x:v>
      </x:c>
      <x:c r="H11" s="30" t="str">
        <x:v>[cite: 58]</x:v>
      </x:c>
      <x:c r="I11" s="30" t="str">
        <x:v>Gemini.docx</x:v>
      </x:c>
      <x:c r="J11" s="30" t="str">
        <x:v>Hold</x:v>
      </x:c>
      <x:c r="K11" s="30" t="str">
        <x:v>Institutional or education-led record. Review manually before promoting it into the employer campaign.</x:v>
      </x:c>
      <x:c r="L11" s="30" t="str"/>
    </x:row>
    <x:row r="12" ht="22" customHeight="1">
      <x:c r="A12" s="30" t="str">
        <x:v>Madison Park Technical Vocational High School</x:v>
      </x:c>
      <x:c r="B12" s="30" t="str">
        <x:v>Boston</x:v>
      </x:c>
      <x:c r="C12" s="30" t="str">
        <x:v>MA</x:v>
      </x:c>
      <x:c r="D12" s="30" t="str">
        <x:v>Career Technical Initiative School</x:v>
      </x:c>
      <x:c r="E12" s="30" t="str">
        <x:v>Automotive Technology and structural Carpentry</x:v>
      </x:c>
      <x:c r="F12" s="30" t="str">
        <x:v>Group 1 Automotive, Boston Duck Tours, McGovern Auto</x:v>
      </x:c>
      <x:c r="G12" s="87" t="n">
        <x:v>480000</x:v>
      </x:c>
      <x:c r="H12" s="30" t="str">
        <x:v>[cite: 58]</x:v>
      </x:c>
      <x:c r="I12" s="30" t="str">
        <x:v>Gemini.docx</x:v>
      </x:c>
      <x:c r="J12" s="30" t="str">
        <x:v>Hold</x:v>
      </x:c>
      <x:c r="K12" s="30" t="str">
        <x:v>Institutional or education-led record. Review manually before promoting it into the employer campaign.</x:v>
      </x:c>
      <x:c r="L12" s="30" t="str"/>
    </x:row>
    <x:row r="13" ht="22" customHeight="1">
      <x:c r="A13" s="30" t="str">
        <x:v>McCann Technical School</x:v>
      </x:c>
      <x:c r="B13" s="30" t="str">
        <x:v>North Adams</x:v>
      </x:c>
      <x:c r="C13" s="30" t="str">
        <x:v>MA</x:v>
      </x:c>
      <x:c r="D13" s="30" t="str">
        <x:v>Career Technical Initiative School</x:v>
      </x:c>
      <x:c r="E13" s="30" t="str">
        <x:v>Automotive Tech, Advanced Manufacturing, Welding</x:v>
      </x:c>
      <x:c r="F13" s="30" t="str">
        <x:v>Haddad GMC, Lenco Armored Vehicles, TOG Manufacturing</x:v>
      </x:c>
      <x:c r="G13" s="87" t="n">
        <x:v>344871</x:v>
      </x:c>
      <x:c r="H13" s="30" t="str">
        <x:v>[cite: 53]</x:v>
      </x:c>
      <x:c r="I13" s="30" t="str">
        <x:v>Gemini.docx</x:v>
      </x:c>
      <x:c r="J13" s="30" t="str">
        <x:v>Hold</x:v>
      </x:c>
      <x:c r="K13" s="30" t="str">
        <x:v>Institutional or education-led record. Review manually before promoting it into the employer campaign.</x:v>
      </x:c>
      <x:c r="L13" s="30" t="str"/>
    </x:row>
    <x:row r="14" ht="22" customHeight="1">
      <x:c r="A14" s="30" t="str">
        <x:v>Taconic High School</x:v>
      </x:c>
      <x:c r="B14" s="30" t="str">
        <x:v>Pittsfield</x:v>
      </x:c>
      <x:c r="C14" s="30" t="str">
        <x:v>MA</x:v>
      </x:c>
      <x:c r="D14" s="30" t="str">
        <x:v>Career Technical Initiative School</x:v>
      </x:c>
      <x:c r="E14" s="30" t="str">
        <x:v>Metal Fabrication and Auto Technology</x:v>
      </x:c>
      <x:c r="F14" s="30" t="str">
        <x:v>O.W. Landergren Inc., RW's Auto, Northeast Fabricators</x:v>
      </x:c>
      <x:c r="G14" s="87" t="n">
        <x:v>180610</x:v>
      </x:c>
      <x:c r="H14" s="30" t="str">
        <x:v>[cite: 53]</x:v>
      </x:c>
      <x:c r="I14" s="30" t="str">
        <x:v>Gemini.docx</x:v>
      </x:c>
      <x:c r="J14" s="30" t="str">
        <x:v>Hold</x:v>
      </x:c>
      <x:c r="K14" s="30" t="str">
        <x:v>Institutional or education-led record. Review manually before promoting it into the employer campaign.</x:v>
      </x:c>
      <x:c r="L14" s="30" t="str"/>
    </x:row>
    <x:row r="15" ht="22" customHeight="1">
      <x:c r="A15" s="30" t="str">
        <x:v>Action Ambulance, Inc.</x:v>
      </x:c>
      <x:c r="B15" s="30" t="str">
        <x:v>Wilmington</x:v>
      </x:c>
      <x:c r="C15" s="30" t="str">
        <x:v>MA</x:v>
      </x:c>
      <x:c r="D15" s="30" t="str">
        <x:v>Workforce Competitiveness Trust Fund Institution</x:v>
      </x:c>
      <x:c r="E15" s="30" t="str">
        <x:v>Paramedic &amp; Advanced EMT training</x:v>
      </x:c>
      <x:c r="F15" s="30" t="str">
        <x:v>Patriot Ambulance, PrideStar Ambulance</x:v>
      </x:c>
      <x:c r="G15" s="87" t="n">
        <x:v>1298547</x:v>
      </x:c>
      <x:c r="H15" s="30" t="str">
        <x:v>[cite: 57]</x:v>
      </x:c>
      <x:c r="I15" s="30" t="str">
        <x:v>Gemini.docx</x:v>
      </x:c>
      <x:c r="J15" s="30" t="str">
        <x:v>Hold</x:v>
      </x:c>
      <x:c r="K15" s="30" t="str">
        <x:v>Institutional or education-led record. Review manually before promoting it into the employer campaign.</x:v>
      </x:c>
      <x:c r="L15" s="30" t="str"/>
    </x:row>
    <x:row r="16" ht="22" customHeight="1">
      <x:c r="A16" s="30" t="str">
        <x:v>Asian American Civic Association, Inc.</x:v>
      </x:c>
      <x:c r="B16" s="30" t="str">
        <x:v>Boston</x:v>
      </x:c>
      <x:c r="C16" s="30" t="str">
        <x:v>MA</x:v>
      </x:c>
      <x:c r="D16" s="30" t="str">
        <x:v>Workforce Competitiveness Trust Fund Institution</x:v>
      </x:c>
      <x:c r="E16" s="30" t="str">
        <x:v>Bilingual Banking &amp; Teller services</x:v>
      </x:c>
      <x:c r="F16" s="30" t="str">
        <x:v>Citizens Bank, M&amp;T Bank, Rockland Trust</x:v>
      </x:c>
      <x:c r="G16" s="87" t="n">
        <x:v>498800</x:v>
      </x:c>
      <x:c r="H16" s="30" t="str">
        <x:v>[cite: 59]</x:v>
      </x:c>
      <x:c r="I16" s="30" t="str">
        <x:v>Gemini.docx</x:v>
      </x:c>
      <x:c r="J16" s="30" t="str">
        <x:v>Hold</x:v>
      </x:c>
      <x:c r="K16" s="30" t="str">
        <x:v>Institutional or education-led record. Review manually before promoting it into the employer campaign.</x:v>
      </x:c>
      <x:c r="L16" s="30" t="str"/>
    </x:row>
    <x:row r="17" ht="22" customHeight="1">
      <x:c r="A17" s="30" t="str">
        <x:v>Asian Women for Health, Inc.</x:v>
      </x:c>
      <x:c r="B17" s="30" t="str">
        <x:v>Boston</x:v>
      </x:c>
      <x:c r="C17" s="30" t="str">
        <x:v>MA</x:v>
      </x:c>
      <x:c r="D17" s="30" t="str">
        <x:v>Workforce Competitiveness Trust Fund Institution</x:v>
      </x:c>
      <x:c r="E17" s="30" t="str">
        <x:v>Community Health Worker certification</x:v>
      </x:c>
      <x:c r="F17" s="30" t="str">
        <x:v>Boston Medical Center, Dana Farber, Boston Children's</x:v>
      </x:c>
      <x:c r="G17" s="87" t="n">
        <x:v>500000</x:v>
      </x:c>
      <x:c r="H17" s="30" t="str">
        <x:v>[cite: 59]</x:v>
      </x:c>
      <x:c r="I17" s="30" t="str">
        <x:v>Gemini.docx</x:v>
      </x:c>
      <x:c r="J17" s="30" t="str">
        <x:v>Hold</x:v>
      </x:c>
      <x:c r="K17" s="30" t="str">
        <x:v>Institutional or education-led record. Review manually before promoting it into the employer campaign.</x:v>
      </x:c>
      <x:c r="L17" s="30" t="str"/>
    </x:row>
    <x:row r="18" ht="22" customHeight="1">
      <x:c r="A18" s="30" t="str">
        <x:v>Bay Path University</x:v>
      </x:c>
      <x:c r="B18" s="30" t="str">
        <x:v>Longmeadow</x:v>
      </x:c>
      <x:c r="C18" s="30" t="str">
        <x:v>MA</x:v>
      </x:c>
      <x:c r="D18" s="30" t="str">
        <x:v>Workforce Competitiveness Trust Fund Institution</x:v>
      </x:c>
      <x:c r="E18" s="30" t="str">
        <x:v>Medical Assistant &amp; Residential Support</x:v>
      </x:c>
      <x:c r="F18" s="30" t="str">
        <x:v>Performance Foodservice, Gordon Food Service, P&amp;S Transport</x:v>
      </x:c>
      <x:c r="G18" s="87" t="n">
        <x:v>1768036</x:v>
      </x:c>
      <x:c r="H18" s="30" t="str">
        <x:v>[cite: 57]</x:v>
      </x:c>
      <x:c r="I18" s="30" t="str">
        <x:v>Gemini.docx</x:v>
      </x:c>
      <x:c r="J18" s="30" t="str">
        <x:v>Hold</x:v>
      </x:c>
      <x:c r="K18" s="30" t="str">
        <x:v>Institutional or education-led record. Review manually before promoting it into the employer campaign.</x:v>
      </x:c>
      <x:c r="L18" s="30" t="str"/>
    </x:row>
    <x:row r="19" ht="22" customHeight="1">
      <x:c r="A19" s="30" t="str">
        <x:v>Catholic Charitable Bureau</x:v>
      </x:c>
      <x:c r="B19" s="30" t="str">
        <x:v>Boston</x:v>
      </x:c>
      <x:c r="C19" s="30" t="str">
        <x:v>MA</x:v>
      </x:c>
      <x:c r="D19" s="30" t="str">
        <x:v>Workforce Competitiveness Trust Fund Institution</x:v>
      </x:c>
      <x:c r="E19" s="30" t="str">
        <x:v>CNA and Home Health Aide certifications</x:v>
      </x:c>
      <x:c r="F19" s="30" t="str">
        <x:v>Mass General Brigham, Boston Children's Hospital</x:v>
      </x:c>
      <x:c r="G19" s="87" t="n">
        <x:v>500000</x:v>
      </x:c>
      <x:c r="H19" s="30" t="str">
        <x:v>[cite: 59]</x:v>
      </x:c>
      <x:c r="I19" s="30" t="str">
        <x:v>Gemini.docx</x:v>
      </x:c>
      <x:c r="J19" s="30" t="str">
        <x:v>Hold</x:v>
      </x:c>
      <x:c r="K19" s="30" t="str">
        <x:v>Institutional or education-led record. Review manually before promoting it into the employer campaign.</x:v>
      </x:c>
      <x:c r="L19" s="30" t="str"/>
    </x:row>
    <x:row r="20" ht="22" customHeight="1">
      <x:c r="A20" s="30" t="str">
        <x:v>Emerge Career</x:v>
      </x:c>
      <x:c r="B20" s="30" t="str">
        <x:v>Boston</x:v>
      </x:c>
      <x:c r="C20" s="30" t="str">
        <x:v>MA</x:v>
      </x:c>
      <x:c r="D20" s="30" t="str">
        <x:v>Workforce Competitiveness Trust Fund Institution</x:v>
      </x:c>
      <x:c r="E20" s="30" t="str">
        <x:v>Commercial Driver &amp; Hospitality tracks</x:v>
      </x:c>
      <x:c r="F20" s="30" t="str">
        <x:v>Pioneer Valley Hotel Group, SnapChef, Northampton Brewery</x:v>
      </x:c>
      <x:c r="G20" s="87" t="n">
        <x:v>1350000</x:v>
      </x:c>
      <x:c r="H20" s="30" t="str">
        <x:v>[cite: 57]</x:v>
      </x:c>
      <x:c r="I20" s="30" t="str">
        <x:v>Gemini.docx</x:v>
      </x:c>
      <x:c r="J20" s="30" t="str">
        <x:v>Hold</x:v>
      </x:c>
      <x:c r="K20" s="30" t="str">
        <x:v>Institutional or education-led record. Review manually before promoting it into the employer campaign.</x:v>
      </x:c>
      <x:c r="L20" s="30" t="str"/>
    </x:row>
    <x:row r="21" ht="22" customHeight="1">
      <x:c r="A21" s="30" t="str">
        <x:v>Friends of the Rafael Hernandez</x:v>
      </x:c>
      <x:c r="B21" s="30" t="str">
        <x:v>Roxbury</x:v>
      </x:c>
      <x:c r="C21" s="30" t="str">
        <x:v>MA</x:v>
      </x:c>
      <x:c r="D21" s="30" t="str">
        <x:v>Workforce Competitiveness Trust Fund Institution</x:v>
      </x:c>
      <x:c r="E21" s="30" t="str">
        <x:v>Early Childhood Educator certifications</x:v>
      </x:c>
      <x:c r="F21" s="30" t="str">
        <x:v>Boston Public Schools, Pine Village Preschool, ABCD</x:v>
      </x:c>
      <x:c r="G21" s="87" t="n">
        <x:v>292000</x:v>
      </x:c>
      <x:c r="H21" s="30" t="str">
        <x:v>[cite: 59]</x:v>
      </x:c>
      <x:c r="I21" s="30" t="str">
        <x:v>Gemini.docx</x:v>
      </x:c>
      <x:c r="J21" s="30" t="str">
        <x:v>Hold</x:v>
      </x:c>
      <x:c r="K21" s="30" t="str">
        <x:v>Institutional or education-led record. Review manually before promoting it into the employer campaign.</x:v>
      </x:c>
      <x:c r="L21" s="30" t="str"/>
    </x:row>
    <x:row r="22" ht="22" customHeight="1">
      <x:c r="A22" s="30" t="str">
        <x:v>Forge Team, Inc.</x:v>
      </x:c>
      <x:c r="B22" s="30" t="str">
        <x:v>Auburndale</x:v>
      </x:c>
      <x:c r="C22" s="30" t="str">
        <x:v>MA</x:v>
      </x:c>
      <x:c r="D22" s="30" t="str">
        <x:v>Workforce Competitiveness Trust Fund Institution</x:v>
      </x:c>
      <x:c r="E22" s="30" t="str">
        <x:v>Certified HVAC Technician pathways</x:v>
      </x:c>
      <x:c r="F22" s="30" t="str">
        <x:v>Forge Windows, Forge Interior</x:v>
      </x:c>
      <x:c r="G22" s="87" t="n">
        <x:v>384250</x:v>
      </x:c>
      <x:c r="H22" s="30" t="str">
        <x:v>[cite: 57]</x:v>
      </x:c>
      <x:c r="I22" s="30" t="str">
        <x:v>Gemini.docx</x:v>
      </x:c>
      <x:c r="J22" s="30" t="str">
        <x:v>Hold</x:v>
      </x:c>
      <x:c r="K22" s="30" t="str">
        <x:v>Institutional or education-led record. Review manually before promoting it into the employer campaign.</x:v>
      </x:c>
      <x:c r="L22" s="30" t="str"/>
    </x:row>
    <x:row r="23" ht="22" customHeight="1">
      <x:c r="A23" s="30" t="str">
        <x:v>Greenfield Community College</x:v>
      </x:c>
      <x:c r="B23" s="30" t="str">
        <x:v>Greenfield</x:v>
      </x:c>
      <x:c r="C23" s="30" t="str">
        <x:v>MA</x:v>
      </x:c>
      <x:c r="D23" s="30" t="str">
        <x:v>Workforce Competitiveness Trust Fund Institution</x:v>
      </x:c>
      <x:c r="E23" s="30" t="str">
        <x:v>Early Childhood Educator licensing</x:v>
      </x:c>
      <x:c r="F23" s="30" t="str">
        <x:v>JaDuke Preschool, Learning Knoll, Hampshire College</x:v>
      </x:c>
      <x:c r="G23" s="87" t="n">
        <x:v>417997</x:v>
      </x:c>
      <x:c r="H23" s="30" t="str">
        <x:v>[cite: 59]</x:v>
      </x:c>
      <x:c r="I23" s="30" t="str">
        <x:v>Gemini.docx</x:v>
      </x:c>
      <x:c r="J23" s="30" t="str">
        <x:v>Hold</x:v>
      </x:c>
      <x:c r="K23" s="30" t="str">
        <x:v>Institutional or education-led record. Review manually before promoting it into the employer campaign.</x:v>
      </x:c>
      <x:c r="L23" s="30" t="str"/>
    </x:row>
    <x:row r="24" ht="22" customHeight="1">
      <x:c r="A24" s="30" t="str">
        <x:v>Health &amp; Home Care Training</x:v>
      </x:c>
      <x:c r="B24" s="30" t="str">
        <x:v>Brockton</x:v>
      </x:c>
      <x:c r="C24" s="30" t="str">
        <x:v>MA</x:v>
      </x:c>
      <x:c r="D24" s="30" t="str">
        <x:v>Workforce Competitiveness Trust Fund Institution</x:v>
      </x:c>
      <x:c r="E24" s="30" t="str">
        <x:v>Certified Nurse's Assistant certificates</x:v>
      </x:c>
      <x:c r="F24" s="30" t="str">
        <x:v>St. Joseph's Manor, Kimwell Rehab, Alliance Health</x:v>
      </x:c>
      <x:c r="G24" s="87" t="n">
        <x:v>499768</x:v>
      </x:c>
      <x:c r="H24" s="30" t="str">
        <x:v>[cite: 59]</x:v>
      </x:c>
      <x:c r="I24" s="30" t="str">
        <x:v>Gemini.docx</x:v>
      </x:c>
      <x:c r="J24" s="30" t="str">
        <x:v>Hold</x:v>
      </x:c>
      <x:c r="K24" s="30" t="str">
        <x:v>Institutional or education-led record. Review manually before promoting it into the employer campaign.</x:v>
      </x:c>
      <x:c r="L24" s="30" t="str"/>
    </x:row>
    <x:row r="25" ht="22" customHeight="1">
      <x:c r="A25" s="30" t="str">
        <x:v>Holyoke Community College</x:v>
      </x:c>
      <x:c r="B25" s="30" t="str">
        <x:v>Holyoke</x:v>
      </x:c>
      <x:c r="C25" s="30" t="str">
        <x:v>MA</x:v>
      </x:c>
      <x:c r="D25" s="30" t="str">
        <x:v>Workforce Competitiveness Trust Fund Institution</x:v>
      </x:c>
      <x:c r="E25" s="30" t="str">
        <x:v>Paraprofessional Educator training</x:v>
      </x:c>
      <x:c r="F25" s="30" t="str">
        <x:v>Springfield Public Schools, William Monroe Trotter School</x:v>
      </x:c>
      <x:c r="G25" s="87" t="n">
        <x:v>1564732</x:v>
      </x:c>
      <x:c r="H25" s="30" t="str">
        <x:v>[cite: 57]</x:v>
      </x:c>
      <x:c r="I25" s="30" t="str">
        <x:v>Gemini.docx</x:v>
      </x:c>
      <x:c r="J25" s="30" t="str">
        <x:v>Hold</x:v>
      </x:c>
      <x:c r="K25" s="30" t="str">
        <x:v>Institutional or education-led record. Review manually before promoting it into the employer campaign.</x:v>
      </x:c>
      <x:c r="L25" s="30" t="str"/>
    </x:row>
    <x:row r="26" ht="22" customHeight="1">
      <x:c r="A26" s="30" t="str">
        <x:v>Jewish Vocational Service, Inc.</x:v>
      </x:c>
      <x:c r="B26" s="30" t="str">
        <x:v>Boston</x:v>
      </x:c>
      <x:c r="C26" s="30" t="str">
        <x:v>MA</x:v>
      </x:c>
      <x:c r="D26" s="30" t="str">
        <x:v>Workforce Competitiveness Trust Fund Institution</x:v>
      </x:c>
      <x:c r="E26" s="30" t="str">
        <x:v>Pharmacy Technician certifications</x:v>
      </x:c>
      <x:c r="F26" s="30" t="str">
        <x:v>Mass General Brigham, CVS Health, Beth Israel Lahey</x:v>
      </x:c>
      <x:c r="G26" s="87" t="n">
        <x:v>500000</x:v>
      </x:c>
      <x:c r="H26" s="30" t="str">
        <x:v>[cite: 59]</x:v>
      </x:c>
      <x:c r="I26" s="30" t="str">
        <x:v>Gemini.docx</x:v>
      </x:c>
      <x:c r="J26" s="30" t="str">
        <x:v>Hold</x:v>
      </x:c>
      <x:c r="K26" s="30" t="str">
        <x:v>Institutional or education-led record. Review manually before promoting it into the employer campaign.</x:v>
      </x:c>
      <x:c r="L26" s="30" t="str"/>
    </x:row>
    <x:row r="27" ht="22" customHeight="1">
      <x:c r="A27" s="30" t="str">
        <x:v>Lawrence CommunityWorks</x:v>
      </x:c>
      <x:c r="B27" s="30" t="str">
        <x:v>Lawrence</x:v>
      </x:c>
      <x:c r="C27" s="30" t="str">
        <x:v>MA</x:v>
      </x:c>
      <x:c r="D27" s="30" t="str">
        <x:v>Workforce Competitiveness Trust Fund Institution</x:v>
      </x:c>
      <x:c r="E27" s="30" t="str">
        <x:v>Bilingual Education Paraprofessionals</x:v>
      </x:c>
      <x:c r="F27" s="30" t="str">
        <x:v>Lawrence Public Schools, The Community Group</x:v>
      </x:c>
      <x:c r="G27" s="87" t="n">
        <x:v>491561</x:v>
      </x:c>
      <x:c r="H27" s="30" t="str">
        <x:v>[cite: 59]</x:v>
      </x:c>
      <x:c r="I27" s="30" t="str">
        <x:v>Gemini.docx</x:v>
      </x:c>
      <x:c r="J27" s="30" t="str">
        <x:v>Hold</x:v>
      </x:c>
      <x:c r="K27" s="30" t="str">
        <x:v>Institutional or education-led record. Review manually before promoting it into the employer campaign.</x:v>
      </x:c>
      <x:c r="L27" s="30" t="str"/>
    </x:row>
    <x:row r="28" ht="22" customHeight="1">
      <x:c r="A28" s="30" t="str">
        <x:v>Quincy College</x:v>
      </x:c>
      <x:c r="B28" s="30" t="str">
        <x:v>Quincy</x:v>
      </x:c>
      <x:c r="C28" s="30" t="str">
        <x:v>MA</x:v>
      </x:c>
      <x:c r="D28" s="30" t="str">
        <x:v>Workforce Competitiveness Trust Fund Institution</x:v>
      </x:c>
      <x:c r="E28" s="30" t="str">
        <x:v>Food Preparation and Culinary programs</x:v>
      </x:c>
      <x:c r="F28" s="30" t="str">
        <x:v>Boston College Auxiliary, BID Hospital Plymouth</x:v>
      </x:c>
      <x:c r="G28" s="87" t="n">
        <x:v>500000</x:v>
      </x:c>
      <x:c r="H28" s="30" t="str">
        <x:v>[cite: 57]</x:v>
      </x:c>
      <x:c r="I28" s="30" t="str">
        <x:v>Gemini.docx</x:v>
      </x:c>
      <x:c r="J28" s="30" t="str">
        <x:v>Hold</x:v>
      </x:c>
      <x:c r="K28" s="30" t="str">
        <x:v>Institutional or education-led record. Review manually before promoting it into the employer campaign.</x:v>
      </x:c>
      <x:c r="L28" s="30" t="str"/>
    </x:row>
    <x:row r="29" ht="22" customHeight="1">
      <x:c r="A29" s="30" t="str">
        <x:v>Regis College</x:v>
      </x:c>
      <x:c r="B29" s="30" t="str">
        <x:v>Weston</x:v>
      </x:c>
      <x:c r="C29" s="30" t="str">
        <x:v>MA</x:v>
      </x:c>
      <x:c r="D29" s="30" t="str">
        <x:v>Workforce Competitiveness Trust Fund Institution</x:v>
      </x:c>
      <x:c r="E29" s="30" t="str">
        <x:v>Phlebotomist &amp; Medical Assistant</x:v>
      </x:c>
      <x:c r="F29" s="30" t="str">
        <x:v>South Shore Health, Emerson Health, Lawrence General</x:v>
      </x:c>
      <x:c r="G29" s="87" t="n">
        <x:v>260150</x:v>
      </x:c>
      <x:c r="H29" s="30" t="str">
        <x:v>[cite: 57]</x:v>
      </x:c>
      <x:c r="I29" s="30" t="str">
        <x:v>Gemini.docx</x:v>
      </x:c>
      <x:c r="J29" s="30" t="str">
        <x:v>Hold</x:v>
      </x:c>
      <x:c r="K29" s="30" t="str">
        <x:v>Institutional or education-led record. Review manually before promoting it into the employer campaign.</x:v>
      </x:c>
      <x:c r="L29" s="30" t="str"/>
    </x:row>
    <x:row r="30" ht="22" customHeight="1">
      <x:c r="A30" s="30" t="str">
        <x:v>Seacoast Rehab and Nursing</x:v>
      </x:c>
      <x:c r="B30" s="30" t="str">
        <x:v>Gloucester</x:v>
      </x:c>
      <x:c r="C30" s="30" t="str">
        <x:v>MA</x:v>
      </x:c>
      <x:c r="D30" s="30" t="str">
        <x:v>Workforce Competitiveness Trust Fund Institution</x:v>
      </x:c>
      <x:c r="E30" s="30" t="str">
        <x:v>Certified Nursing Assistant programs</x:v>
      </x:c>
      <x:c r="F30" s="30" t="str">
        <x:v>Ledgewood Rehab and Nursing Center</x:v>
      </x:c>
      <x:c r="G30" s="87" t="n">
        <x:v>235000</x:v>
      </x:c>
      <x:c r="H30" s="30" t="str">
        <x:v>[cite: 57]</x:v>
      </x:c>
      <x:c r="I30" s="30" t="str">
        <x:v>Gemini.docx</x:v>
      </x:c>
      <x:c r="J30" s="30" t="str">
        <x:v>Hold</x:v>
      </x:c>
      <x:c r="K30" s="30" t="str">
        <x:v>Institutional or education-led record. Review manually before promoting it into the employer campaign.</x:v>
      </x:c>
      <x:c r="L30" s="30" t="str"/>
    </x:row>
    <x:row r="31" ht="22" customHeight="1">
      <x:c r="A31" s="30" t="str">
        <x:v>SnapChef</x:v>
      </x:c>
      <x:c r="B31" s="30" t="str">
        <x:v>Dorchester</x:v>
      </x:c>
      <x:c r="C31" s="30" t="str">
        <x:v>MA</x:v>
      </x:c>
      <x:c r="D31" s="30" t="str">
        <x:v>Workforce Competitiveness Trust Fund Institution</x:v>
      </x:c>
      <x:c r="E31" s="30" t="str">
        <x:v>Professional Culinary certifications</x:v>
      </x:c>
      <x:c r="F31" s="30" t="str">
        <x:v>Loophole Brewing, Fresh Food Generation, Daily Table</x:v>
      </x:c>
      <x:c r="G31" s="87" t="n">
        <x:v>500000</x:v>
      </x:c>
      <x:c r="H31" s="30" t="str">
        <x:v>[cite: 57]</x:v>
      </x:c>
      <x:c r="I31" s="30" t="str">
        <x:v>Gemini.docx</x:v>
      </x:c>
      <x:c r="J31" s="30" t="str">
        <x:v>Hold</x:v>
      </x:c>
      <x:c r="K31" s="30" t="str">
        <x:v>Institutional or education-led record. Review manually before promoting it into the employer campaign.</x:v>
      </x:c>
      <x:c r="L31" s="30" t="str"/>
    </x:row>
    <x:row r="32" ht="22" customHeight="1">
      <x:c r="A32" s="30" t="str">
        <x:v>Stack Education Partners</x:v>
      </x:c>
      <x:c r="B32" s="30" t="str">
        <x:v>Boston</x:v>
      </x:c>
      <x:c r="C32" s="30" t="str">
        <x:v>MA</x:v>
      </x:c>
      <x:c r="D32" s="30" t="str">
        <x:v>Workforce Competitiveness Trust Fund Institution</x:v>
      </x:c>
      <x:c r="E32" s="30" t="str">
        <x:v>Research Administrator pathways</x:v>
      </x:c>
      <x:c r="F32" s="30" t="str">
        <x:v>Boston Children's, Tufts Medical, UMass Chan</x:v>
      </x:c>
      <x:c r="G32" s="87" t="n">
        <x:v>450000</x:v>
      </x:c>
      <x:c r="H32" s="30" t="str">
        <x:v>[cite: 57]</x:v>
      </x:c>
      <x:c r="I32" s="30" t="str">
        <x:v>Gemini.docx</x:v>
      </x:c>
      <x:c r="J32" s="30" t="str">
        <x:v>Hold</x:v>
      </x:c>
      <x:c r="K32" s="30" t="str">
        <x:v>Institutional or education-led record. Review manually before promoting it into the employer campaign.</x:v>
      </x:c>
      <x:c r="L32" s="30" t="str"/>
    </x:row>
    <x:row r="33" ht="22" customHeight="1">
      <x:c r="A33" s="31" t="str">
        <x:v>STEMatch, Inc.</x:v>
      </x:c>
      <x:c r="B33" s="31" t="str">
        <x:v>Wellesley</x:v>
      </x:c>
      <x:c r="C33" s="31" t="str">
        <x:v>MA</x:v>
      </x:c>
      <x:c r="D33" s="31" t="str">
        <x:v>Workforce Competitiveness Trust Fund Institution</x:v>
      </x:c>
      <x:c r="E33" s="31" t="str">
        <x:v>STEM-specific technical pathways</x:v>
      </x:c>
      <x:c r="F33" s="31" t="str">
        <x:v>Local regional STEM employers</x:v>
      </x:c>
      <x:c r="G33" s="88" t="n">
        <x:v>1245292</x:v>
      </x:c>
      <x:c r="H33" s="31" t="str">
        <x:v>[cite: 57]</x:v>
      </x:c>
      <x:c r="I33" s="31" t="str">
        <x:v>Gemini.docx</x:v>
      </x:c>
      <x:c r="J33" s="31" t="str">
        <x:v>Hold</x:v>
      </x:c>
      <x:c r="K33" s="31" t="str">
        <x:v>Institutional or education-led record. Review manually before promoting it into the employer campaign.</x:v>
      </x:c>
      <x:c r="L33" s="31" t="str"/>
    </x:row>
  </x:sheetData>
  <x:mergeCells>
    <x:mergeCell ref="A1:L1"/>
    <x:mergeCell ref="A2:L2"/>
  </x:mergeCells>
  <x:conditionalFormatting sqref="J5:J33">
    <x:cfRule type="containsText" dxfId="13" priority="1" operator="containsText" text="Promote"/>
    <x:cfRule type="containsText" dxfId="14" priority="2" operator="containsText" text="Needs Review"/>
  </x:conditionalFormatting>
  <x:dataValidations count="1">
    <x:dataValidation type="list" sqref="J5:J33">
      <x:formula1>"Hold,Needs Review,Promote,Reject"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e4185d2d3b4e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6" hidden="0" customWidth="1"/>
    <x:col min="3" max="3" width="22" hidden="0" customWidth="1"/>
    <x:col min="4" max="4" width="18" hidden="0" customWidth="1"/>
    <x:col min="5" max="5" width="9" hidden="0" customWidth="1"/>
    <x:col min="6" max="6" width="18" hidden="0" customWidth="1"/>
    <x:col min="7" max="7" width="38" hidden="0" customWidth="1"/>
    <x:col min="8" max="8" width="17" hidden="0" customWidth="1"/>
  </x:cols>
  <x:sheetData>
    <x:row r="1" ht="34" customHeight="1">
      <x:c r="A1" s="19" t="str">
        <x:v>company</x:v>
      </x:c>
      <x:c r="B1" s="20" t="str">
        <x:v>website</x:v>
      </x:c>
      <x:c r="C1" s="20" t="str">
        <x:v>industry</x:v>
      </x:c>
      <x:c r="D1" s="20" t="str">
        <x:v>city</x:v>
      </x:c>
      <x:c r="E1" s="20" t="str">
        <x:v>state</x:v>
      </x:c>
      <x:c r="F1" s="20" t="str">
        <x:v>employeeSize</x:v>
      </x:c>
      <x:c r="G1" s="20" t="str">
        <x:v>sourceUrl</x:v>
      </x:c>
      <x:c r="H1" s="21" t="str">
        <x:v>wtfpRelevance</x:v>
      </x:c>
    </x:row>
    <x:row r="2" ht="22" customHeight="1">
      <x:c r="A2" s="29" t="str">
        <x:f>IF('MASTER_QUEUE'!$Y2="Ready",'MASTER_QUEUE'!A2,"")</x:f>
      </x:c>
      <x:c r="B2" s="29" t="str">
        <x:f>IF('MASTER_QUEUE'!$Y2="Ready",'MASTER_QUEUE'!B2,"")</x:f>
      </x:c>
      <x:c r="C2" s="29" t="str">
        <x:f>IF('MASTER_QUEUE'!$Y2="Ready",'MASTER_QUEUE'!C2,"")</x:f>
      </x:c>
      <x:c r="D2" s="29" t="str">
        <x:f>IF('MASTER_QUEUE'!$Y2="Ready",'MASTER_QUEUE'!D2,"")</x:f>
      </x:c>
      <x:c r="E2" s="29" t="str">
        <x:f>IF('MASTER_QUEUE'!$Y2="Ready",'MASTER_QUEUE'!E2,"")</x:f>
      </x:c>
      <x:c r="F2" s="29" t="str">
        <x:f>IF('MASTER_QUEUE'!$Y2="Ready",'MASTER_QUEUE'!F2,"")</x:f>
      </x:c>
      <x:c r="G2" s="29" t="str">
        <x:f>IF('MASTER_QUEUE'!$Y2="Ready",'MASTER_QUEUE'!G2,"")</x:f>
      </x:c>
      <x:c r="H2" s="98" t="str">
        <x:f>IF('MASTER_QUEUE'!$Y2="Ready",'MASTER_QUEUE'!H2,"")</x:f>
      </x:c>
    </x:row>
    <x:row r="3" ht="22" customHeight="1">
      <x:c r="A3" s="30" t="str">
        <x:f>IF('MASTER_QUEUE'!$Y3="Ready",'MASTER_QUEUE'!A3,"")</x:f>
      </x:c>
      <x:c r="B3" s="30" t="str">
        <x:f>IF('MASTER_QUEUE'!$Y3="Ready",'MASTER_QUEUE'!B3,"")</x:f>
      </x:c>
      <x:c r="C3" s="30" t="str">
        <x:f>IF('MASTER_QUEUE'!$Y3="Ready",'MASTER_QUEUE'!C3,"")</x:f>
      </x:c>
      <x:c r="D3" s="30" t="str">
        <x:f>IF('MASTER_QUEUE'!$Y3="Ready",'MASTER_QUEUE'!D3,"")</x:f>
      </x:c>
      <x:c r="E3" s="30" t="str">
        <x:f>IF('MASTER_QUEUE'!$Y3="Ready",'MASTER_QUEUE'!E3,"")</x:f>
      </x:c>
      <x:c r="F3" s="30" t="str">
        <x:f>IF('MASTER_QUEUE'!$Y3="Ready",'MASTER_QUEUE'!F3,"")</x:f>
      </x:c>
      <x:c r="G3" s="30" t="str">
        <x:f>IF('MASTER_QUEUE'!$Y3="Ready",'MASTER_QUEUE'!G3,"")</x:f>
      </x:c>
      <x:c r="H3" s="99" t="str">
        <x:f>IF('MASTER_QUEUE'!$Y3="Ready",'MASTER_QUEUE'!H3,"")</x:f>
      </x:c>
    </x:row>
    <x:row r="4" ht="22" customHeight="1">
      <x:c r="A4" s="30" t="str">
        <x:f>IF('MASTER_QUEUE'!$Y4="Ready",'MASTER_QUEUE'!A4,"")</x:f>
      </x:c>
      <x:c r="B4" s="30" t="str">
        <x:f>IF('MASTER_QUEUE'!$Y4="Ready",'MASTER_QUEUE'!B4,"")</x:f>
      </x:c>
      <x:c r="C4" s="30" t="str">
        <x:f>IF('MASTER_QUEUE'!$Y4="Ready",'MASTER_QUEUE'!C4,"")</x:f>
      </x:c>
      <x:c r="D4" s="30" t="str">
        <x:f>IF('MASTER_QUEUE'!$Y4="Ready",'MASTER_QUEUE'!D4,"")</x:f>
      </x:c>
      <x:c r="E4" s="30" t="str">
        <x:f>IF('MASTER_QUEUE'!$Y4="Ready",'MASTER_QUEUE'!E4,"")</x:f>
      </x:c>
      <x:c r="F4" s="30" t="str">
        <x:f>IF('MASTER_QUEUE'!$Y4="Ready",'MASTER_QUEUE'!F4,"")</x:f>
      </x:c>
      <x:c r="G4" s="30" t="str">
        <x:f>IF('MASTER_QUEUE'!$Y4="Ready",'MASTER_QUEUE'!G4,"")</x:f>
      </x:c>
      <x:c r="H4" s="99" t="str">
        <x:f>IF('MASTER_QUEUE'!$Y4="Ready",'MASTER_QUEUE'!H4,"")</x:f>
      </x:c>
    </x:row>
    <x:row r="5" ht="22" customHeight="1">
      <x:c r="A5" s="30" t="str">
        <x:f>IF('MASTER_QUEUE'!$Y5="Ready",'MASTER_QUEUE'!A5,"")</x:f>
      </x:c>
      <x:c r="B5" s="30" t="str">
        <x:f>IF('MASTER_QUEUE'!$Y5="Ready",'MASTER_QUEUE'!B5,"")</x:f>
      </x:c>
      <x:c r="C5" s="30" t="str">
        <x:f>IF('MASTER_QUEUE'!$Y5="Ready",'MASTER_QUEUE'!C5,"")</x:f>
      </x:c>
      <x:c r="D5" s="30" t="str">
        <x:f>IF('MASTER_QUEUE'!$Y5="Ready",'MASTER_QUEUE'!D5,"")</x:f>
      </x:c>
      <x:c r="E5" s="30" t="str">
        <x:f>IF('MASTER_QUEUE'!$Y5="Ready",'MASTER_QUEUE'!E5,"")</x:f>
      </x:c>
      <x:c r="F5" s="30" t="str">
        <x:f>IF('MASTER_QUEUE'!$Y5="Ready",'MASTER_QUEUE'!F5,"")</x:f>
      </x:c>
      <x:c r="G5" s="30" t="str">
        <x:f>IF('MASTER_QUEUE'!$Y5="Ready",'MASTER_QUEUE'!G5,"")</x:f>
      </x:c>
      <x:c r="H5" s="99" t="str">
        <x:f>IF('MASTER_QUEUE'!$Y5="Ready",'MASTER_QUEUE'!H5,"")</x:f>
      </x:c>
    </x:row>
    <x:row r="6" ht="22" customHeight="1">
      <x:c r="A6" s="30" t="str">
        <x:f>IF('MASTER_QUEUE'!$Y6="Ready",'MASTER_QUEUE'!A6,"")</x:f>
      </x:c>
      <x:c r="B6" s="30" t="str">
        <x:f>IF('MASTER_QUEUE'!$Y6="Ready",'MASTER_QUEUE'!B6,"")</x:f>
      </x:c>
      <x:c r="C6" s="30" t="str">
        <x:f>IF('MASTER_QUEUE'!$Y6="Ready",'MASTER_QUEUE'!C6,"")</x:f>
      </x:c>
      <x:c r="D6" s="30" t="str">
        <x:f>IF('MASTER_QUEUE'!$Y6="Ready",'MASTER_QUEUE'!D6,"")</x:f>
      </x:c>
      <x:c r="E6" s="30" t="str">
        <x:f>IF('MASTER_QUEUE'!$Y6="Ready",'MASTER_QUEUE'!E6,"")</x:f>
      </x:c>
      <x:c r="F6" s="30" t="str">
        <x:f>IF('MASTER_QUEUE'!$Y6="Ready",'MASTER_QUEUE'!F6,"")</x:f>
      </x:c>
      <x:c r="G6" s="30" t="str">
        <x:f>IF('MASTER_QUEUE'!$Y6="Ready",'MASTER_QUEUE'!G6,"")</x:f>
      </x:c>
      <x:c r="H6" s="99" t="str">
        <x:f>IF('MASTER_QUEUE'!$Y6="Ready",'MASTER_QUEUE'!H6,"")</x:f>
      </x:c>
    </x:row>
    <x:row r="7" ht="22" customHeight="1">
      <x:c r="A7" s="30" t="str">
        <x:f>IF('MASTER_QUEUE'!$Y7="Ready",'MASTER_QUEUE'!A7,"")</x:f>
      </x:c>
      <x:c r="B7" s="30" t="str">
        <x:f>IF('MASTER_QUEUE'!$Y7="Ready",'MASTER_QUEUE'!B7,"")</x:f>
      </x:c>
      <x:c r="C7" s="30" t="str">
        <x:f>IF('MASTER_QUEUE'!$Y7="Ready",'MASTER_QUEUE'!C7,"")</x:f>
      </x:c>
      <x:c r="D7" s="30" t="str">
        <x:f>IF('MASTER_QUEUE'!$Y7="Ready",'MASTER_QUEUE'!D7,"")</x:f>
      </x:c>
      <x:c r="E7" s="30" t="str">
        <x:f>IF('MASTER_QUEUE'!$Y7="Ready",'MASTER_QUEUE'!E7,"")</x:f>
      </x:c>
      <x:c r="F7" s="30" t="str">
        <x:f>IF('MASTER_QUEUE'!$Y7="Ready",'MASTER_QUEUE'!F7,"")</x:f>
      </x:c>
      <x:c r="G7" s="30" t="str">
        <x:f>IF('MASTER_QUEUE'!$Y7="Ready",'MASTER_QUEUE'!G7,"")</x:f>
      </x:c>
      <x:c r="H7" s="99" t="str">
        <x:f>IF('MASTER_QUEUE'!$Y7="Ready",'MASTER_QUEUE'!H7,"")</x:f>
      </x:c>
    </x:row>
    <x:row r="8" ht="22" customHeight="1">
      <x:c r="A8" s="30" t="str">
        <x:f>IF('MASTER_QUEUE'!$Y8="Ready",'MASTER_QUEUE'!A8,"")</x:f>
      </x:c>
      <x:c r="B8" s="30" t="str">
        <x:f>IF('MASTER_QUEUE'!$Y8="Ready",'MASTER_QUEUE'!B8,"")</x:f>
      </x:c>
      <x:c r="C8" s="30" t="str">
        <x:f>IF('MASTER_QUEUE'!$Y8="Ready",'MASTER_QUEUE'!C8,"")</x:f>
      </x:c>
      <x:c r="D8" s="30" t="str">
        <x:f>IF('MASTER_QUEUE'!$Y8="Ready",'MASTER_QUEUE'!D8,"")</x:f>
      </x:c>
      <x:c r="E8" s="30" t="str">
        <x:f>IF('MASTER_QUEUE'!$Y8="Ready",'MASTER_QUEUE'!E8,"")</x:f>
      </x:c>
      <x:c r="F8" s="30" t="str">
        <x:f>IF('MASTER_QUEUE'!$Y8="Ready",'MASTER_QUEUE'!F8,"")</x:f>
      </x:c>
      <x:c r="G8" s="30" t="str">
        <x:f>IF('MASTER_QUEUE'!$Y8="Ready",'MASTER_QUEUE'!G8,"")</x:f>
      </x:c>
      <x:c r="H8" s="99" t="str">
        <x:f>IF('MASTER_QUEUE'!$Y8="Ready",'MASTER_QUEUE'!H8,"")</x:f>
      </x:c>
    </x:row>
    <x:row r="9" ht="22" customHeight="1">
      <x:c r="A9" s="30" t="str">
        <x:f>IF('MASTER_QUEUE'!$Y9="Ready",'MASTER_QUEUE'!A9,"")</x:f>
      </x:c>
      <x:c r="B9" s="30" t="str">
        <x:f>IF('MASTER_QUEUE'!$Y9="Ready",'MASTER_QUEUE'!B9,"")</x:f>
      </x:c>
      <x:c r="C9" s="30" t="str">
        <x:f>IF('MASTER_QUEUE'!$Y9="Ready",'MASTER_QUEUE'!C9,"")</x:f>
      </x:c>
      <x:c r="D9" s="30" t="str">
        <x:f>IF('MASTER_QUEUE'!$Y9="Ready",'MASTER_QUEUE'!D9,"")</x:f>
      </x:c>
      <x:c r="E9" s="30" t="str">
        <x:f>IF('MASTER_QUEUE'!$Y9="Ready",'MASTER_QUEUE'!E9,"")</x:f>
      </x:c>
      <x:c r="F9" s="30" t="str">
        <x:f>IF('MASTER_QUEUE'!$Y9="Ready",'MASTER_QUEUE'!F9,"")</x:f>
      </x:c>
      <x:c r="G9" s="30" t="str">
        <x:f>IF('MASTER_QUEUE'!$Y9="Ready",'MASTER_QUEUE'!G9,"")</x:f>
      </x:c>
      <x:c r="H9" s="99" t="str">
        <x:f>IF('MASTER_QUEUE'!$Y9="Ready",'MASTER_QUEUE'!H9,"")</x:f>
      </x:c>
    </x:row>
    <x:row r="10" ht="22" customHeight="1">
      <x:c r="A10" s="30" t="str">
        <x:f>IF('MASTER_QUEUE'!$Y10="Ready",'MASTER_QUEUE'!A10,"")</x:f>
      </x:c>
      <x:c r="B10" s="30" t="str">
        <x:f>IF('MASTER_QUEUE'!$Y10="Ready",'MASTER_QUEUE'!B10,"")</x:f>
      </x:c>
      <x:c r="C10" s="30" t="str">
        <x:f>IF('MASTER_QUEUE'!$Y10="Ready",'MASTER_QUEUE'!C10,"")</x:f>
      </x:c>
      <x:c r="D10" s="30" t="str">
        <x:f>IF('MASTER_QUEUE'!$Y10="Ready",'MASTER_QUEUE'!D10,"")</x:f>
      </x:c>
      <x:c r="E10" s="30" t="str">
        <x:f>IF('MASTER_QUEUE'!$Y10="Ready",'MASTER_QUEUE'!E10,"")</x:f>
      </x:c>
      <x:c r="F10" s="30" t="str">
        <x:f>IF('MASTER_QUEUE'!$Y10="Ready",'MASTER_QUEUE'!F10,"")</x:f>
      </x:c>
      <x:c r="G10" s="30" t="str">
        <x:f>IF('MASTER_QUEUE'!$Y10="Ready",'MASTER_QUEUE'!G10,"")</x:f>
      </x:c>
      <x:c r="H10" s="99" t="str">
        <x:f>IF('MASTER_QUEUE'!$Y10="Ready",'MASTER_QUEUE'!H10,"")</x:f>
      </x:c>
    </x:row>
    <x:row r="11" ht="22" customHeight="1">
      <x:c r="A11" s="30" t="str">
        <x:f>IF('MASTER_QUEUE'!$Y11="Ready",'MASTER_QUEUE'!A11,"")</x:f>
      </x:c>
      <x:c r="B11" s="30" t="str">
        <x:f>IF('MASTER_QUEUE'!$Y11="Ready",'MASTER_QUEUE'!B11,"")</x:f>
      </x:c>
      <x:c r="C11" s="30" t="str">
        <x:f>IF('MASTER_QUEUE'!$Y11="Ready",'MASTER_QUEUE'!C11,"")</x:f>
      </x:c>
      <x:c r="D11" s="30" t="str">
        <x:f>IF('MASTER_QUEUE'!$Y11="Ready",'MASTER_QUEUE'!D11,"")</x:f>
      </x:c>
      <x:c r="E11" s="30" t="str">
        <x:f>IF('MASTER_QUEUE'!$Y11="Ready",'MASTER_QUEUE'!E11,"")</x:f>
      </x:c>
      <x:c r="F11" s="30" t="str">
        <x:f>IF('MASTER_QUEUE'!$Y11="Ready",'MASTER_QUEUE'!F11,"")</x:f>
      </x:c>
      <x:c r="G11" s="30" t="str">
        <x:f>IF('MASTER_QUEUE'!$Y11="Ready",'MASTER_QUEUE'!G11,"")</x:f>
      </x:c>
      <x:c r="H11" s="99" t="str">
        <x:f>IF('MASTER_QUEUE'!$Y11="Ready",'MASTER_QUEUE'!H11,"")</x:f>
      </x:c>
    </x:row>
    <x:row r="12" ht="22" customHeight="1">
      <x:c r="A12" s="30" t="str">
        <x:f>IF('MASTER_QUEUE'!$Y12="Ready",'MASTER_QUEUE'!A12,"")</x:f>
      </x:c>
      <x:c r="B12" s="30" t="str">
        <x:f>IF('MASTER_QUEUE'!$Y12="Ready",'MASTER_QUEUE'!B12,"")</x:f>
      </x:c>
      <x:c r="C12" s="30" t="str">
        <x:f>IF('MASTER_QUEUE'!$Y12="Ready",'MASTER_QUEUE'!C12,"")</x:f>
      </x:c>
      <x:c r="D12" s="30" t="str">
        <x:f>IF('MASTER_QUEUE'!$Y12="Ready",'MASTER_QUEUE'!D12,"")</x:f>
      </x:c>
      <x:c r="E12" s="30" t="str">
        <x:f>IF('MASTER_QUEUE'!$Y12="Ready",'MASTER_QUEUE'!E12,"")</x:f>
      </x:c>
      <x:c r="F12" s="30" t="str">
        <x:f>IF('MASTER_QUEUE'!$Y12="Ready",'MASTER_QUEUE'!F12,"")</x:f>
      </x:c>
      <x:c r="G12" s="30" t="str">
        <x:f>IF('MASTER_QUEUE'!$Y12="Ready",'MASTER_QUEUE'!G12,"")</x:f>
      </x:c>
      <x:c r="H12" s="99" t="str">
        <x:f>IF('MASTER_QUEUE'!$Y12="Ready",'MASTER_QUEUE'!H12,"")</x:f>
      </x:c>
    </x:row>
    <x:row r="13" ht="22" customHeight="1">
      <x:c r="A13" s="30" t="str">
        <x:f>IF('MASTER_QUEUE'!$Y13="Ready",'MASTER_QUEUE'!A13,"")</x:f>
      </x:c>
      <x:c r="B13" s="30" t="str">
        <x:f>IF('MASTER_QUEUE'!$Y13="Ready",'MASTER_QUEUE'!B13,"")</x:f>
      </x:c>
      <x:c r="C13" s="30" t="str">
        <x:f>IF('MASTER_QUEUE'!$Y13="Ready",'MASTER_QUEUE'!C13,"")</x:f>
      </x:c>
      <x:c r="D13" s="30" t="str">
        <x:f>IF('MASTER_QUEUE'!$Y13="Ready",'MASTER_QUEUE'!D13,"")</x:f>
      </x:c>
      <x:c r="E13" s="30" t="str">
        <x:f>IF('MASTER_QUEUE'!$Y13="Ready",'MASTER_QUEUE'!E13,"")</x:f>
      </x:c>
      <x:c r="F13" s="30" t="str">
        <x:f>IF('MASTER_QUEUE'!$Y13="Ready",'MASTER_QUEUE'!F13,"")</x:f>
      </x:c>
      <x:c r="G13" s="30" t="str">
        <x:f>IF('MASTER_QUEUE'!$Y13="Ready",'MASTER_QUEUE'!G13,"")</x:f>
      </x:c>
      <x:c r="H13" s="99" t="str">
        <x:f>IF('MASTER_QUEUE'!$Y13="Ready",'MASTER_QUEUE'!H13,"")</x:f>
      </x:c>
    </x:row>
    <x:row r="14" ht="22" customHeight="1">
      <x:c r="A14" s="30" t="str">
        <x:f>IF('MASTER_QUEUE'!$Y14="Ready",'MASTER_QUEUE'!A14,"")</x:f>
      </x:c>
      <x:c r="B14" s="30" t="str">
        <x:f>IF('MASTER_QUEUE'!$Y14="Ready",'MASTER_QUEUE'!B14,"")</x:f>
      </x:c>
      <x:c r="C14" s="30" t="str">
        <x:f>IF('MASTER_QUEUE'!$Y14="Ready",'MASTER_QUEUE'!C14,"")</x:f>
      </x:c>
      <x:c r="D14" s="30" t="str">
        <x:f>IF('MASTER_QUEUE'!$Y14="Ready",'MASTER_QUEUE'!D14,"")</x:f>
      </x:c>
      <x:c r="E14" s="30" t="str">
        <x:f>IF('MASTER_QUEUE'!$Y14="Ready",'MASTER_QUEUE'!E14,"")</x:f>
      </x:c>
      <x:c r="F14" s="30" t="str">
        <x:f>IF('MASTER_QUEUE'!$Y14="Ready",'MASTER_QUEUE'!F14,"")</x:f>
      </x:c>
      <x:c r="G14" s="30" t="str">
        <x:f>IF('MASTER_QUEUE'!$Y14="Ready",'MASTER_QUEUE'!G14,"")</x:f>
      </x:c>
      <x:c r="H14" s="99" t="str">
        <x:f>IF('MASTER_QUEUE'!$Y14="Ready",'MASTER_QUEUE'!H14,"")</x:f>
      </x:c>
    </x:row>
    <x:row r="15" ht="22" customHeight="1">
      <x:c r="A15" s="30" t="str">
        <x:f>IF('MASTER_QUEUE'!$Y15="Ready",'MASTER_QUEUE'!A15,"")</x:f>
      </x:c>
      <x:c r="B15" s="30" t="str">
        <x:f>IF('MASTER_QUEUE'!$Y15="Ready",'MASTER_QUEUE'!B15,"")</x:f>
      </x:c>
      <x:c r="C15" s="30" t="str">
        <x:f>IF('MASTER_QUEUE'!$Y15="Ready",'MASTER_QUEUE'!C15,"")</x:f>
      </x:c>
      <x:c r="D15" s="30" t="str">
        <x:f>IF('MASTER_QUEUE'!$Y15="Ready",'MASTER_QUEUE'!D15,"")</x:f>
      </x:c>
      <x:c r="E15" s="30" t="str">
        <x:f>IF('MASTER_QUEUE'!$Y15="Ready",'MASTER_QUEUE'!E15,"")</x:f>
      </x:c>
      <x:c r="F15" s="30" t="str">
        <x:f>IF('MASTER_QUEUE'!$Y15="Ready",'MASTER_QUEUE'!F15,"")</x:f>
      </x:c>
      <x:c r="G15" s="30" t="str">
        <x:f>IF('MASTER_QUEUE'!$Y15="Ready",'MASTER_QUEUE'!G15,"")</x:f>
      </x:c>
      <x:c r="H15" s="99" t="str">
        <x:f>IF('MASTER_QUEUE'!$Y15="Ready",'MASTER_QUEUE'!H15,"")</x:f>
      </x:c>
    </x:row>
    <x:row r="16" ht="22" customHeight="1">
      <x:c r="A16" s="30" t="str">
        <x:f>IF('MASTER_QUEUE'!$Y16="Ready",'MASTER_QUEUE'!A16,"")</x:f>
      </x:c>
      <x:c r="B16" s="30" t="str">
        <x:f>IF('MASTER_QUEUE'!$Y16="Ready",'MASTER_QUEUE'!B16,"")</x:f>
      </x:c>
      <x:c r="C16" s="30" t="str">
        <x:f>IF('MASTER_QUEUE'!$Y16="Ready",'MASTER_QUEUE'!C16,"")</x:f>
      </x:c>
      <x:c r="D16" s="30" t="str">
        <x:f>IF('MASTER_QUEUE'!$Y16="Ready",'MASTER_QUEUE'!D16,"")</x:f>
      </x:c>
      <x:c r="E16" s="30" t="str">
        <x:f>IF('MASTER_QUEUE'!$Y16="Ready",'MASTER_QUEUE'!E16,"")</x:f>
      </x:c>
      <x:c r="F16" s="30" t="str">
        <x:f>IF('MASTER_QUEUE'!$Y16="Ready",'MASTER_QUEUE'!F16,"")</x:f>
      </x:c>
      <x:c r="G16" s="30" t="str">
        <x:f>IF('MASTER_QUEUE'!$Y16="Ready",'MASTER_QUEUE'!G16,"")</x:f>
      </x:c>
      <x:c r="H16" s="99" t="str">
        <x:f>IF('MASTER_QUEUE'!$Y16="Ready",'MASTER_QUEUE'!H16,"")</x:f>
      </x:c>
    </x:row>
    <x:row r="17" ht="22" customHeight="1">
      <x:c r="A17" s="30" t="str">
        <x:f>IF('MASTER_QUEUE'!$Y17="Ready",'MASTER_QUEUE'!A17,"")</x:f>
      </x:c>
      <x:c r="B17" s="30" t="str">
        <x:f>IF('MASTER_QUEUE'!$Y17="Ready",'MASTER_QUEUE'!B17,"")</x:f>
      </x:c>
      <x:c r="C17" s="30" t="str">
        <x:f>IF('MASTER_QUEUE'!$Y17="Ready",'MASTER_QUEUE'!C17,"")</x:f>
      </x:c>
      <x:c r="D17" s="30" t="str">
        <x:f>IF('MASTER_QUEUE'!$Y17="Ready",'MASTER_QUEUE'!D17,"")</x:f>
      </x:c>
      <x:c r="E17" s="30" t="str">
        <x:f>IF('MASTER_QUEUE'!$Y17="Ready",'MASTER_QUEUE'!E17,"")</x:f>
      </x:c>
      <x:c r="F17" s="30" t="str">
        <x:f>IF('MASTER_QUEUE'!$Y17="Ready",'MASTER_QUEUE'!F17,"")</x:f>
      </x:c>
      <x:c r="G17" s="30" t="str">
        <x:f>IF('MASTER_QUEUE'!$Y17="Ready",'MASTER_QUEUE'!G17,"")</x:f>
      </x:c>
      <x:c r="H17" s="99" t="str">
        <x:f>IF('MASTER_QUEUE'!$Y17="Ready",'MASTER_QUEUE'!H17,"")</x:f>
      </x:c>
    </x:row>
    <x:row r="18" ht="22" customHeight="1">
      <x:c r="A18" s="30" t="str">
        <x:f>IF('MASTER_QUEUE'!$Y18="Ready",'MASTER_QUEUE'!A18,"")</x:f>
      </x:c>
      <x:c r="B18" s="30" t="str">
        <x:f>IF('MASTER_QUEUE'!$Y18="Ready",'MASTER_QUEUE'!B18,"")</x:f>
      </x:c>
      <x:c r="C18" s="30" t="str">
        <x:f>IF('MASTER_QUEUE'!$Y18="Ready",'MASTER_QUEUE'!C18,"")</x:f>
      </x:c>
      <x:c r="D18" s="30" t="str">
        <x:f>IF('MASTER_QUEUE'!$Y18="Ready",'MASTER_QUEUE'!D18,"")</x:f>
      </x:c>
      <x:c r="E18" s="30" t="str">
        <x:f>IF('MASTER_QUEUE'!$Y18="Ready",'MASTER_QUEUE'!E18,"")</x:f>
      </x:c>
      <x:c r="F18" s="30" t="str">
        <x:f>IF('MASTER_QUEUE'!$Y18="Ready",'MASTER_QUEUE'!F18,"")</x:f>
      </x:c>
      <x:c r="G18" s="30" t="str">
        <x:f>IF('MASTER_QUEUE'!$Y18="Ready",'MASTER_QUEUE'!G18,"")</x:f>
      </x:c>
      <x:c r="H18" s="99" t="str">
        <x:f>IF('MASTER_QUEUE'!$Y18="Ready",'MASTER_QUEUE'!H18,"")</x:f>
      </x:c>
    </x:row>
    <x:row r="19" ht="22" customHeight="1">
      <x:c r="A19" s="30" t="str">
        <x:f>IF('MASTER_QUEUE'!$Y19="Ready",'MASTER_QUEUE'!A19,"")</x:f>
      </x:c>
      <x:c r="B19" s="30" t="str">
        <x:f>IF('MASTER_QUEUE'!$Y19="Ready",'MASTER_QUEUE'!B19,"")</x:f>
      </x:c>
      <x:c r="C19" s="30" t="str">
        <x:f>IF('MASTER_QUEUE'!$Y19="Ready",'MASTER_QUEUE'!C19,"")</x:f>
      </x:c>
      <x:c r="D19" s="30" t="str">
        <x:f>IF('MASTER_QUEUE'!$Y19="Ready",'MASTER_QUEUE'!D19,"")</x:f>
      </x:c>
      <x:c r="E19" s="30" t="str">
        <x:f>IF('MASTER_QUEUE'!$Y19="Ready",'MASTER_QUEUE'!E19,"")</x:f>
      </x:c>
      <x:c r="F19" s="30" t="str">
        <x:f>IF('MASTER_QUEUE'!$Y19="Ready",'MASTER_QUEUE'!F19,"")</x:f>
      </x:c>
      <x:c r="G19" s="30" t="str">
        <x:f>IF('MASTER_QUEUE'!$Y19="Ready",'MASTER_QUEUE'!G19,"")</x:f>
      </x:c>
      <x:c r="H19" s="99" t="str">
        <x:f>IF('MASTER_QUEUE'!$Y19="Ready",'MASTER_QUEUE'!H19,"")</x:f>
      </x:c>
    </x:row>
    <x:row r="20" ht="22" customHeight="1">
      <x:c r="A20" s="30" t="str">
        <x:f>IF('MASTER_QUEUE'!$Y20="Ready",'MASTER_QUEUE'!A20,"")</x:f>
      </x:c>
      <x:c r="B20" s="30" t="str">
        <x:f>IF('MASTER_QUEUE'!$Y20="Ready",'MASTER_QUEUE'!B20,"")</x:f>
      </x:c>
      <x:c r="C20" s="30" t="str">
        <x:f>IF('MASTER_QUEUE'!$Y20="Ready",'MASTER_QUEUE'!C20,"")</x:f>
      </x:c>
      <x:c r="D20" s="30" t="str">
        <x:f>IF('MASTER_QUEUE'!$Y20="Ready",'MASTER_QUEUE'!D20,"")</x:f>
      </x:c>
      <x:c r="E20" s="30" t="str">
        <x:f>IF('MASTER_QUEUE'!$Y20="Ready",'MASTER_QUEUE'!E20,"")</x:f>
      </x:c>
      <x:c r="F20" s="30" t="str">
        <x:f>IF('MASTER_QUEUE'!$Y20="Ready",'MASTER_QUEUE'!F20,"")</x:f>
      </x:c>
      <x:c r="G20" s="30" t="str">
        <x:f>IF('MASTER_QUEUE'!$Y20="Ready",'MASTER_QUEUE'!G20,"")</x:f>
      </x:c>
      <x:c r="H20" s="99" t="str">
        <x:f>IF('MASTER_QUEUE'!$Y20="Ready",'MASTER_QUEUE'!H20,"")</x:f>
      </x:c>
    </x:row>
    <x:row r="21" ht="22" customHeight="1">
      <x:c r="A21" s="30" t="str">
        <x:f>IF('MASTER_QUEUE'!$Y21="Ready",'MASTER_QUEUE'!A21,"")</x:f>
      </x:c>
      <x:c r="B21" s="30" t="str">
        <x:f>IF('MASTER_QUEUE'!$Y21="Ready",'MASTER_QUEUE'!B21,"")</x:f>
      </x:c>
      <x:c r="C21" s="30" t="str">
        <x:f>IF('MASTER_QUEUE'!$Y21="Ready",'MASTER_QUEUE'!C21,"")</x:f>
      </x:c>
      <x:c r="D21" s="30" t="str">
        <x:f>IF('MASTER_QUEUE'!$Y21="Ready",'MASTER_QUEUE'!D21,"")</x:f>
      </x:c>
      <x:c r="E21" s="30" t="str">
        <x:f>IF('MASTER_QUEUE'!$Y21="Ready",'MASTER_QUEUE'!E21,"")</x:f>
      </x:c>
      <x:c r="F21" s="30" t="str">
        <x:f>IF('MASTER_QUEUE'!$Y21="Ready",'MASTER_QUEUE'!F21,"")</x:f>
      </x:c>
      <x:c r="G21" s="30" t="str">
        <x:f>IF('MASTER_QUEUE'!$Y21="Ready",'MASTER_QUEUE'!G21,"")</x:f>
      </x:c>
      <x:c r="H21" s="99" t="str">
        <x:f>IF('MASTER_QUEUE'!$Y21="Ready",'MASTER_QUEUE'!H21,"")</x:f>
      </x:c>
    </x:row>
    <x:row r="22" ht="22" customHeight="1">
      <x:c r="A22" s="30" t="str">
        <x:f>IF('MASTER_QUEUE'!$Y22="Ready",'MASTER_QUEUE'!A22,"")</x:f>
      </x:c>
      <x:c r="B22" s="30" t="str">
        <x:f>IF('MASTER_QUEUE'!$Y22="Ready",'MASTER_QUEUE'!B22,"")</x:f>
      </x:c>
      <x:c r="C22" s="30" t="str">
        <x:f>IF('MASTER_QUEUE'!$Y22="Ready",'MASTER_QUEUE'!C22,"")</x:f>
      </x:c>
      <x:c r="D22" s="30" t="str">
        <x:f>IF('MASTER_QUEUE'!$Y22="Ready",'MASTER_QUEUE'!D22,"")</x:f>
      </x:c>
      <x:c r="E22" s="30" t="str">
        <x:f>IF('MASTER_QUEUE'!$Y22="Ready",'MASTER_QUEUE'!E22,"")</x:f>
      </x:c>
      <x:c r="F22" s="30" t="str">
        <x:f>IF('MASTER_QUEUE'!$Y22="Ready",'MASTER_QUEUE'!F22,"")</x:f>
      </x:c>
      <x:c r="G22" s="30" t="str">
        <x:f>IF('MASTER_QUEUE'!$Y22="Ready",'MASTER_QUEUE'!G22,"")</x:f>
      </x:c>
      <x:c r="H22" s="99" t="str">
        <x:f>IF('MASTER_QUEUE'!$Y22="Ready",'MASTER_QUEUE'!H22,"")</x:f>
      </x:c>
    </x:row>
    <x:row r="23" ht="22" customHeight="1">
      <x:c r="A23" s="30" t="str">
        <x:f>IF('MASTER_QUEUE'!$Y23="Ready",'MASTER_QUEUE'!A23,"")</x:f>
      </x:c>
      <x:c r="B23" s="30" t="str">
        <x:f>IF('MASTER_QUEUE'!$Y23="Ready",'MASTER_QUEUE'!B23,"")</x:f>
      </x:c>
      <x:c r="C23" s="30" t="str">
        <x:f>IF('MASTER_QUEUE'!$Y23="Ready",'MASTER_QUEUE'!C23,"")</x:f>
      </x:c>
      <x:c r="D23" s="30" t="str">
        <x:f>IF('MASTER_QUEUE'!$Y23="Ready",'MASTER_QUEUE'!D23,"")</x:f>
      </x:c>
      <x:c r="E23" s="30" t="str">
        <x:f>IF('MASTER_QUEUE'!$Y23="Ready",'MASTER_QUEUE'!E23,"")</x:f>
      </x:c>
      <x:c r="F23" s="30" t="str">
        <x:f>IF('MASTER_QUEUE'!$Y23="Ready",'MASTER_QUEUE'!F23,"")</x:f>
      </x:c>
      <x:c r="G23" s="30" t="str">
        <x:f>IF('MASTER_QUEUE'!$Y23="Ready",'MASTER_QUEUE'!G23,"")</x:f>
      </x:c>
      <x:c r="H23" s="99" t="str">
        <x:f>IF('MASTER_QUEUE'!$Y23="Ready",'MASTER_QUEUE'!H23,"")</x:f>
      </x:c>
    </x:row>
    <x:row r="24" ht="22" customHeight="1">
      <x:c r="A24" s="30" t="str">
        <x:f>IF('MASTER_QUEUE'!$Y24="Ready",'MASTER_QUEUE'!A24,"")</x:f>
      </x:c>
      <x:c r="B24" s="30" t="str">
        <x:f>IF('MASTER_QUEUE'!$Y24="Ready",'MASTER_QUEUE'!B24,"")</x:f>
      </x:c>
      <x:c r="C24" s="30" t="str">
        <x:f>IF('MASTER_QUEUE'!$Y24="Ready",'MASTER_QUEUE'!C24,"")</x:f>
      </x:c>
      <x:c r="D24" s="30" t="str">
        <x:f>IF('MASTER_QUEUE'!$Y24="Ready",'MASTER_QUEUE'!D24,"")</x:f>
      </x:c>
      <x:c r="E24" s="30" t="str">
        <x:f>IF('MASTER_QUEUE'!$Y24="Ready",'MASTER_QUEUE'!E24,"")</x:f>
      </x:c>
      <x:c r="F24" s="30" t="str">
        <x:f>IF('MASTER_QUEUE'!$Y24="Ready",'MASTER_QUEUE'!F24,"")</x:f>
      </x:c>
      <x:c r="G24" s="30" t="str">
        <x:f>IF('MASTER_QUEUE'!$Y24="Ready",'MASTER_QUEUE'!G24,"")</x:f>
      </x:c>
      <x:c r="H24" s="99" t="str">
        <x:f>IF('MASTER_QUEUE'!$Y24="Ready",'MASTER_QUEUE'!H24,"")</x:f>
      </x:c>
    </x:row>
    <x:row r="25" ht="22" customHeight="1">
      <x:c r="A25" s="30" t="str">
        <x:f>IF('MASTER_QUEUE'!$Y25="Ready",'MASTER_QUEUE'!A25,"")</x:f>
      </x:c>
      <x:c r="B25" s="30" t="str">
        <x:f>IF('MASTER_QUEUE'!$Y25="Ready",'MASTER_QUEUE'!B25,"")</x:f>
      </x:c>
      <x:c r="C25" s="30" t="str">
        <x:f>IF('MASTER_QUEUE'!$Y25="Ready",'MASTER_QUEUE'!C25,"")</x:f>
      </x:c>
      <x:c r="D25" s="30" t="str">
        <x:f>IF('MASTER_QUEUE'!$Y25="Ready",'MASTER_QUEUE'!D25,"")</x:f>
      </x:c>
      <x:c r="E25" s="30" t="str">
        <x:f>IF('MASTER_QUEUE'!$Y25="Ready",'MASTER_QUEUE'!E25,"")</x:f>
      </x:c>
      <x:c r="F25" s="30" t="str">
        <x:f>IF('MASTER_QUEUE'!$Y25="Ready",'MASTER_QUEUE'!F25,"")</x:f>
      </x:c>
      <x:c r="G25" s="30" t="str">
        <x:f>IF('MASTER_QUEUE'!$Y25="Ready",'MASTER_QUEUE'!G25,"")</x:f>
      </x:c>
      <x:c r="H25" s="99" t="str">
        <x:f>IF('MASTER_QUEUE'!$Y25="Ready",'MASTER_QUEUE'!H25,"")</x:f>
      </x:c>
    </x:row>
    <x:row r="26" ht="22" customHeight="1">
      <x:c r="A26" s="30" t="str">
        <x:f>IF('MASTER_QUEUE'!$Y26="Ready",'MASTER_QUEUE'!A26,"")</x:f>
      </x:c>
      <x:c r="B26" s="30" t="str">
        <x:f>IF('MASTER_QUEUE'!$Y26="Ready",'MASTER_QUEUE'!B26,"")</x:f>
      </x:c>
      <x:c r="C26" s="30" t="str">
        <x:f>IF('MASTER_QUEUE'!$Y26="Ready",'MASTER_QUEUE'!C26,"")</x:f>
      </x:c>
      <x:c r="D26" s="30" t="str">
        <x:f>IF('MASTER_QUEUE'!$Y26="Ready",'MASTER_QUEUE'!D26,"")</x:f>
      </x:c>
      <x:c r="E26" s="30" t="str">
        <x:f>IF('MASTER_QUEUE'!$Y26="Ready",'MASTER_QUEUE'!E26,"")</x:f>
      </x:c>
      <x:c r="F26" s="30" t="str">
        <x:f>IF('MASTER_QUEUE'!$Y26="Ready",'MASTER_QUEUE'!F26,"")</x:f>
      </x:c>
      <x:c r="G26" s="30" t="str">
        <x:f>IF('MASTER_QUEUE'!$Y26="Ready",'MASTER_QUEUE'!G26,"")</x:f>
      </x:c>
      <x:c r="H26" s="99" t="str">
        <x:f>IF('MASTER_QUEUE'!$Y26="Ready",'MASTER_QUEUE'!H26,"")</x:f>
      </x:c>
    </x:row>
    <x:row r="27" ht="22" customHeight="1">
      <x:c r="A27" s="30" t="str">
        <x:f>IF('MASTER_QUEUE'!$Y27="Ready",'MASTER_QUEUE'!A27,"")</x:f>
      </x:c>
      <x:c r="B27" s="30" t="str">
        <x:f>IF('MASTER_QUEUE'!$Y27="Ready",'MASTER_QUEUE'!B27,"")</x:f>
      </x:c>
      <x:c r="C27" s="30" t="str">
        <x:f>IF('MASTER_QUEUE'!$Y27="Ready",'MASTER_QUEUE'!C27,"")</x:f>
      </x:c>
      <x:c r="D27" s="30" t="str">
        <x:f>IF('MASTER_QUEUE'!$Y27="Ready",'MASTER_QUEUE'!D27,"")</x:f>
      </x:c>
      <x:c r="E27" s="30" t="str">
        <x:f>IF('MASTER_QUEUE'!$Y27="Ready",'MASTER_QUEUE'!E27,"")</x:f>
      </x:c>
      <x:c r="F27" s="30" t="str">
        <x:f>IF('MASTER_QUEUE'!$Y27="Ready",'MASTER_QUEUE'!F27,"")</x:f>
      </x:c>
      <x:c r="G27" s="30" t="str">
        <x:f>IF('MASTER_QUEUE'!$Y27="Ready",'MASTER_QUEUE'!G27,"")</x:f>
      </x:c>
      <x:c r="H27" s="99" t="str">
        <x:f>IF('MASTER_QUEUE'!$Y27="Ready",'MASTER_QUEUE'!H27,"")</x:f>
      </x:c>
    </x:row>
    <x:row r="28" ht="22" customHeight="1">
      <x:c r="A28" s="30" t="str">
        <x:f>IF('MASTER_QUEUE'!$Y28="Ready",'MASTER_QUEUE'!A28,"")</x:f>
      </x:c>
      <x:c r="B28" s="30" t="str">
        <x:f>IF('MASTER_QUEUE'!$Y28="Ready",'MASTER_QUEUE'!B28,"")</x:f>
      </x:c>
      <x:c r="C28" s="30" t="str">
        <x:f>IF('MASTER_QUEUE'!$Y28="Ready",'MASTER_QUEUE'!C28,"")</x:f>
      </x:c>
      <x:c r="D28" s="30" t="str">
        <x:f>IF('MASTER_QUEUE'!$Y28="Ready",'MASTER_QUEUE'!D28,"")</x:f>
      </x:c>
      <x:c r="E28" s="30" t="str">
        <x:f>IF('MASTER_QUEUE'!$Y28="Ready",'MASTER_QUEUE'!E28,"")</x:f>
      </x:c>
      <x:c r="F28" s="30" t="str">
        <x:f>IF('MASTER_QUEUE'!$Y28="Ready",'MASTER_QUEUE'!F28,"")</x:f>
      </x:c>
      <x:c r="G28" s="30" t="str">
        <x:f>IF('MASTER_QUEUE'!$Y28="Ready",'MASTER_QUEUE'!G28,"")</x:f>
      </x:c>
      <x:c r="H28" s="99" t="str">
        <x:f>IF('MASTER_QUEUE'!$Y28="Ready",'MASTER_QUEUE'!H28,"")</x:f>
      </x:c>
    </x:row>
    <x:row r="29" ht="22" customHeight="1">
      <x:c r="A29" s="30" t="str">
        <x:f>IF('MASTER_QUEUE'!$Y29="Ready",'MASTER_QUEUE'!A29,"")</x:f>
      </x:c>
      <x:c r="B29" s="30" t="str">
        <x:f>IF('MASTER_QUEUE'!$Y29="Ready",'MASTER_QUEUE'!B29,"")</x:f>
      </x:c>
      <x:c r="C29" s="30" t="str">
        <x:f>IF('MASTER_QUEUE'!$Y29="Ready",'MASTER_QUEUE'!C29,"")</x:f>
      </x:c>
      <x:c r="D29" s="30" t="str">
        <x:f>IF('MASTER_QUEUE'!$Y29="Ready",'MASTER_QUEUE'!D29,"")</x:f>
      </x:c>
      <x:c r="E29" s="30" t="str">
        <x:f>IF('MASTER_QUEUE'!$Y29="Ready",'MASTER_QUEUE'!E29,"")</x:f>
      </x:c>
      <x:c r="F29" s="30" t="str">
        <x:f>IF('MASTER_QUEUE'!$Y29="Ready",'MASTER_QUEUE'!F29,"")</x:f>
      </x:c>
      <x:c r="G29" s="30" t="str">
        <x:f>IF('MASTER_QUEUE'!$Y29="Ready",'MASTER_QUEUE'!G29,"")</x:f>
      </x:c>
      <x:c r="H29" s="99" t="str">
        <x:f>IF('MASTER_QUEUE'!$Y29="Ready",'MASTER_QUEUE'!H29,"")</x:f>
      </x:c>
    </x:row>
    <x:row r="30" ht="22" customHeight="1">
      <x:c r="A30" s="30" t="str">
        <x:f>IF('MASTER_QUEUE'!$Y30="Ready",'MASTER_QUEUE'!A30,"")</x:f>
      </x:c>
      <x:c r="B30" s="30" t="str">
        <x:f>IF('MASTER_QUEUE'!$Y30="Ready",'MASTER_QUEUE'!B30,"")</x:f>
      </x:c>
      <x:c r="C30" s="30" t="str">
        <x:f>IF('MASTER_QUEUE'!$Y30="Ready",'MASTER_QUEUE'!C30,"")</x:f>
      </x:c>
      <x:c r="D30" s="30" t="str">
        <x:f>IF('MASTER_QUEUE'!$Y30="Ready",'MASTER_QUEUE'!D30,"")</x:f>
      </x:c>
      <x:c r="E30" s="30" t="str">
        <x:f>IF('MASTER_QUEUE'!$Y30="Ready",'MASTER_QUEUE'!E30,"")</x:f>
      </x:c>
      <x:c r="F30" s="30" t="str">
        <x:f>IF('MASTER_QUEUE'!$Y30="Ready",'MASTER_QUEUE'!F30,"")</x:f>
      </x:c>
      <x:c r="G30" s="30" t="str">
        <x:f>IF('MASTER_QUEUE'!$Y30="Ready",'MASTER_QUEUE'!G30,"")</x:f>
      </x:c>
      <x:c r="H30" s="99" t="str">
        <x:f>IF('MASTER_QUEUE'!$Y30="Ready",'MASTER_QUEUE'!H30,"")</x:f>
      </x:c>
    </x:row>
    <x:row r="31" ht="22" customHeight="1">
      <x:c r="A31" s="30" t="str">
        <x:f>IF('MASTER_QUEUE'!$Y31="Ready",'MASTER_QUEUE'!A31,"")</x:f>
      </x:c>
      <x:c r="B31" s="30" t="str">
        <x:f>IF('MASTER_QUEUE'!$Y31="Ready",'MASTER_QUEUE'!B31,"")</x:f>
      </x:c>
      <x:c r="C31" s="30" t="str">
        <x:f>IF('MASTER_QUEUE'!$Y31="Ready",'MASTER_QUEUE'!C31,"")</x:f>
      </x:c>
      <x:c r="D31" s="30" t="str">
        <x:f>IF('MASTER_QUEUE'!$Y31="Ready",'MASTER_QUEUE'!D31,"")</x:f>
      </x:c>
      <x:c r="E31" s="30" t="str">
        <x:f>IF('MASTER_QUEUE'!$Y31="Ready",'MASTER_QUEUE'!E31,"")</x:f>
      </x:c>
      <x:c r="F31" s="30" t="str">
        <x:f>IF('MASTER_QUEUE'!$Y31="Ready",'MASTER_QUEUE'!F31,"")</x:f>
      </x:c>
      <x:c r="G31" s="30" t="str">
        <x:f>IF('MASTER_QUEUE'!$Y31="Ready",'MASTER_QUEUE'!G31,"")</x:f>
      </x:c>
      <x:c r="H31" s="99" t="str">
        <x:f>IF('MASTER_QUEUE'!$Y31="Ready",'MASTER_QUEUE'!H31,"")</x:f>
      </x:c>
    </x:row>
    <x:row r="32" ht="22" customHeight="1">
      <x:c r="A32" s="30" t="str">
        <x:f>IF('MASTER_QUEUE'!$Y32="Ready",'MASTER_QUEUE'!A32,"")</x:f>
      </x:c>
      <x:c r="B32" s="30" t="str">
        <x:f>IF('MASTER_QUEUE'!$Y32="Ready",'MASTER_QUEUE'!B32,"")</x:f>
      </x:c>
      <x:c r="C32" s="30" t="str">
        <x:f>IF('MASTER_QUEUE'!$Y32="Ready",'MASTER_QUEUE'!C32,"")</x:f>
      </x:c>
      <x:c r="D32" s="30" t="str">
        <x:f>IF('MASTER_QUEUE'!$Y32="Ready",'MASTER_QUEUE'!D32,"")</x:f>
      </x:c>
      <x:c r="E32" s="30" t="str">
        <x:f>IF('MASTER_QUEUE'!$Y32="Ready",'MASTER_QUEUE'!E32,"")</x:f>
      </x:c>
      <x:c r="F32" s="30" t="str">
        <x:f>IF('MASTER_QUEUE'!$Y32="Ready",'MASTER_QUEUE'!F32,"")</x:f>
      </x:c>
      <x:c r="G32" s="30" t="str">
        <x:f>IF('MASTER_QUEUE'!$Y32="Ready",'MASTER_QUEUE'!G32,"")</x:f>
      </x:c>
      <x:c r="H32" s="99" t="str">
        <x:f>IF('MASTER_QUEUE'!$Y32="Ready",'MASTER_QUEUE'!H32,"")</x:f>
      </x:c>
    </x:row>
    <x:row r="33" ht="22" customHeight="1">
      <x:c r="A33" s="30" t="str">
        <x:f>IF('MASTER_QUEUE'!$Y33="Ready",'MASTER_QUEUE'!A33,"")</x:f>
      </x:c>
      <x:c r="B33" s="30" t="str">
        <x:f>IF('MASTER_QUEUE'!$Y33="Ready",'MASTER_QUEUE'!B33,"")</x:f>
      </x:c>
      <x:c r="C33" s="30" t="str">
        <x:f>IF('MASTER_QUEUE'!$Y33="Ready",'MASTER_QUEUE'!C33,"")</x:f>
      </x:c>
      <x:c r="D33" s="30" t="str">
        <x:f>IF('MASTER_QUEUE'!$Y33="Ready",'MASTER_QUEUE'!D33,"")</x:f>
      </x:c>
      <x:c r="E33" s="30" t="str">
        <x:f>IF('MASTER_QUEUE'!$Y33="Ready",'MASTER_QUEUE'!E33,"")</x:f>
      </x:c>
      <x:c r="F33" s="30" t="str">
        <x:f>IF('MASTER_QUEUE'!$Y33="Ready",'MASTER_QUEUE'!F33,"")</x:f>
      </x:c>
      <x:c r="G33" s="30" t="str">
        <x:f>IF('MASTER_QUEUE'!$Y33="Ready",'MASTER_QUEUE'!G33,"")</x:f>
      </x:c>
      <x:c r="H33" s="99" t="str">
        <x:f>IF('MASTER_QUEUE'!$Y33="Ready",'MASTER_QUEUE'!H33,"")</x:f>
      </x:c>
    </x:row>
    <x:row r="34" ht="22" customHeight="1">
      <x:c r="A34" s="30" t="str">
        <x:f>IF('MASTER_QUEUE'!$Y34="Ready",'MASTER_QUEUE'!A34,"")</x:f>
      </x:c>
      <x:c r="B34" s="30" t="str">
        <x:f>IF('MASTER_QUEUE'!$Y34="Ready",'MASTER_QUEUE'!B34,"")</x:f>
      </x:c>
      <x:c r="C34" s="30" t="str">
        <x:f>IF('MASTER_QUEUE'!$Y34="Ready",'MASTER_QUEUE'!C34,"")</x:f>
      </x:c>
      <x:c r="D34" s="30" t="str">
        <x:f>IF('MASTER_QUEUE'!$Y34="Ready",'MASTER_QUEUE'!D34,"")</x:f>
      </x:c>
      <x:c r="E34" s="30" t="str">
        <x:f>IF('MASTER_QUEUE'!$Y34="Ready",'MASTER_QUEUE'!E34,"")</x:f>
      </x:c>
      <x:c r="F34" s="30" t="str">
        <x:f>IF('MASTER_QUEUE'!$Y34="Ready",'MASTER_QUEUE'!F34,"")</x:f>
      </x:c>
      <x:c r="G34" s="30" t="str">
        <x:f>IF('MASTER_QUEUE'!$Y34="Ready",'MASTER_QUEUE'!G34,"")</x:f>
      </x:c>
      <x:c r="H34" s="99" t="str">
        <x:f>IF('MASTER_QUEUE'!$Y34="Ready",'MASTER_QUEUE'!H34,"")</x:f>
      </x:c>
    </x:row>
    <x:row r="35" ht="22" customHeight="1">
      <x:c r="A35" s="30" t="str">
        <x:f>IF('MASTER_QUEUE'!$Y35="Ready",'MASTER_QUEUE'!A35,"")</x:f>
      </x:c>
      <x:c r="B35" s="30" t="str">
        <x:f>IF('MASTER_QUEUE'!$Y35="Ready",'MASTER_QUEUE'!B35,"")</x:f>
      </x:c>
      <x:c r="C35" s="30" t="str">
        <x:f>IF('MASTER_QUEUE'!$Y35="Ready",'MASTER_QUEUE'!C35,"")</x:f>
      </x:c>
      <x:c r="D35" s="30" t="str">
        <x:f>IF('MASTER_QUEUE'!$Y35="Ready",'MASTER_QUEUE'!D35,"")</x:f>
      </x:c>
      <x:c r="E35" s="30" t="str">
        <x:f>IF('MASTER_QUEUE'!$Y35="Ready",'MASTER_QUEUE'!E35,"")</x:f>
      </x:c>
      <x:c r="F35" s="30" t="str">
        <x:f>IF('MASTER_QUEUE'!$Y35="Ready",'MASTER_QUEUE'!F35,"")</x:f>
      </x:c>
      <x:c r="G35" s="30" t="str">
        <x:f>IF('MASTER_QUEUE'!$Y35="Ready",'MASTER_QUEUE'!G35,"")</x:f>
      </x:c>
      <x:c r="H35" s="99" t="str">
        <x:f>IF('MASTER_QUEUE'!$Y35="Ready",'MASTER_QUEUE'!H35,"")</x:f>
      </x:c>
    </x:row>
    <x:row r="36" ht="22" customHeight="1">
      <x:c r="A36" s="30" t="str">
        <x:f>IF('MASTER_QUEUE'!$Y36="Ready",'MASTER_QUEUE'!A36,"")</x:f>
      </x:c>
      <x:c r="B36" s="30" t="str">
        <x:f>IF('MASTER_QUEUE'!$Y36="Ready",'MASTER_QUEUE'!B36,"")</x:f>
      </x:c>
      <x:c r="C36" s="30" t="str">
        <x:f>IF('MASTER_QUEUE'!$Y36="Ready",'MASTER_QUEUE'!C36,"")</x:f>
      </x:c>
      <x:c r="D36" s="30" t="str">
        <x:f>IF('MASTER_QUEUE'!$Y36="Ready",'MASTER_QUEUE'!D36,"")</x:f>
      </x:c>
      <x:c r="E36" s="30" t="str">
        <x:f>IF('MASTER_QUEUE'!$Y36="Ready",'MASTER_QUEUE'!E36,"")</x:f>
      </x:c>
      <x:c r="F36" s="30" t="str">
        <x:f>IF('MASTER_QUEUE'!$Y36="Ready",'MASTER_QUEUE'!F36,"")</x:f>
      </x:c>
      <x:c r="G36" s="30" t="str">
        <x:f>IF('MASTER_QUEUE'!$Y36="Ready",'MASTER_QUEUE'!G36,"")</x:f>
      </x:c>
      <x:c r="H36" s="99" t="str">
        <x:f>IF('MASTER_QUEUE'!$Y36="Ready",'MASTER_QUEUE'!H36,"")</x:f>
      </x:c>
    </x:row>
    <x:row r="37" ht="22" customHeight="1">
      <x:c r="A37" s="30" t="str">
        <x:f>IF('MASTER_QUEUE'!$Y37="Ready",'MASTER_QUEUE'!A37,"")</x:f>
      </x:c>
      <x:c r="B37" s="30" t="str">
        <x:f>IF('MASTER_QUEUE'!$Y37="Ready",'MASTER_QUEUE'!B37,"")</x:f>
      </x:c>
      <x:c r="C37" s="30" t="str">
        <x:f>IF('MASTER_QUEUE'!$Y37="Ready",'MASTER_QUEUE'!C37,"")</x:f>
      </x:c>
      <x:c r="D37" s="30" t="str">
        <x:f>IF('MASTER_QUEUE'!$Y37="Ready",'MASTER_QUEUE'!D37,"")</x:f>
      </x:c>
      <x:c r="E37" s="30" t="str">
        <x:f>IF('MASTER_QUEUE'!$Y37="Ready",'MASTER_QUEUE'!E37,"")</x:f>
      </x:c>
      <x:c r="F37" s="30" t="str">
        <x:f>IF('MASTER_QUEUE'!$Y37="Ready",'MASTER_QUEUE'!F37,"")</x:f>
      </x:c>
      <x:c r="G37" s="30" t="str">
        <x:f>IF('MASTER_QUEUE'!$Y37="Ready",'MASTER_QUEUE'!G37,"")</x:f>
      </x:c>
      <x:c r="H37" s="99" t="str">
        <x:f>IF('MASTER_QUEUE'!$Y37="Ready",'MASTER_QUEUE'!H37,"")</x:f>
      </x:c>
    </x:row>
    <x:row r="38" ht="22" customHeight="1">
      <x:c r="A38" s="30" t="str">
        <x:f>IF('MASTER_QUEUE'!$Y38="Ready",'MASTER_QUEUE'!A38,"")</x:f>
      </x:c>
      <x:c r="B38" s="30" t="str">
        <x:f>IF('MASTER_QUEUE'!$Y38="Ready",'MASTER_QUEUE'!B38,"")</x:f>
      </x:c>
      <x:c r="C38" s="30" t="str">
        <x:f>IF('MASTER_QUEUE'!$Y38="Ready",'MASTER_QUEUE'!C38,"")</x:f>
      </x:c>
      <x:c r="D38" s="30" t="str">
        <x:f>IF('MASTER_QUEUE'!$Y38="Ready",'MASTER_QUEUE'!D38,"")</x:f>
      </x:c>
      <x:c r="E38" s="30" t="str">
        <x:f>IF('MASTER_QUEUE'!$Y38="Ready",'MASTER_QUEUE'!E38,"")</x:f>
      </x:c>
      <x:c r="F38" s="30" t="str">
        <x:f>IF('MASTER_QUEUE'!$Y38="Ready",'MASTER_QUEUE'!F38,"")</x:f>
      </x:c>
      <x:c r="G38" s="30" t="str">
        <x:f>IF('MASTER_QUEUE'!$Y38="Ready",'MASTER_QUEUE'!G38,"")</x:f>
      </x:c>
      <x:c r="H38" s="99" t="str">
        <x:f>IF('MASTER_QUEUE'!$Y38="Ready",'MASTER_QUEUE'!H38,"")</x:f>
      </x:c>
    </x:row>
    <x:row r="39" ht="22" customHeight="1">
      <x:c r="A39" s="30" t="str">
        <x:f>IF('MASTER_QUEUE'!$Y39="Ready",'MASTER_QUEUE'!A39,"")</x:f>
      </x:c>
      <x:c r="B39" s="30" t="str">
        <x:f>IF('MASTER_QUEUE'!$Y39="Ready",'MASTER_QUEUE'!B39,"")</x:f>
      </x:c>
      <x:c r="C39" s="30" t="str">
        <x:f>IF('MASTER_QUEUE'!$Y39="Ready",'MASTER_QUEUE'!C39,"")</x:f>
      </x:c>
      <x:c r="D39" s="30" t="str">
        <x:f>IF('MASTER_QUEUE'!$Y39="Ready",'MASTER_QUEUE'!D39,"")</x:f>
      </x:c>
      <x:c r="E39" s="30" t="str">
        <x:f>IF('MASTER_QUEUE'!$Y39="Ready",'MASTER_QUEUE'!E39,"")</x:f>
      </x:c>
      <x:c r="F39" s="30" t="str">
        <x:f>IF('MASTER_QUEUE'!$Y39="Ready",'MASTER_QUEUE'!F39,"")</x:f>
      </x:c>
      <x:c r="G39" s="30" t="str">
        <x:f>IF('MASTER_QUEUE'!$Y39="Ready",'MASTER_QUEUE'!G39,"")</x:f>
      </x:c>
      <x:c r="H39" s="99" t="str">
        <x:f>IF('MASTER_QUEUE'!$Y39="Ready",'MASTER_QUEUE'!H39,"")</x:f>
      </x:c>
    </x:row>
    <x:row r="40" ht="22" customHeight="1">
      <x:c r="A40" s="30" t="str">
        <x:f>IF('MASTER_QUEUE'!$Y40="Ready",'MASTER_QUEUE'!A40,"")</x:f>
      </x:c>
      <x:c r="B40" s="30" t="str">
        <x:f>IF('MASTER_QUEUE'!$Y40="Ready",'MASTER_QUEUE'!B40,"")</x:f>
      </x:c>
      <x:c r="C40" s="30" t="str">
        <x:f>IF('MASTER_QUEUE'!$Y40="Ready",'MASTER_QUEUE'!C40,"")</x:f>
      </x:c>
      <x:c r="D40" s="30" t="str">
        <x:f>IF('MASTER_QUEUE'!$Y40="Ready",'MASTER_QUEUE'!D40,"")</x:f>
      </x:c>
      <x:c r="E40" s="30" t="str">
        <x:f>IF('MASTER_QUEUE'!$Y40="Ready",'MASTER_QUEUE'!E40,"")</x:f>
      </x:c>
      <x:c r="F40" s="30" t="str">
        <x:f>IF('MASTER_QUEUE'!$Y40="Ready",'MASTER_QUEUE'!F40,"")</x:f>
      </x:c>
      <x:c r="G40" s="30" t="str">
        <x:f>IF('MASTER_QUEUE'!$Y40="Ready",'MASTER_QUEUE'!G40,"")</x:f>
      </x:c>
      <x:c r="H40" s="99" t="str">
        <x:f>IF('MASTER_QUEUE'!$Y40="Ready",'MASTER_QUEUE'!H40,"")</x:f>
      </x:c>
    </x:row>
    <x:row r="41" ht="22" customHeight="1">
      <x:c r="A41" s="30" t="str">
        <x:f>IF('MASTER_QUEUE'!$Y41="Ready",'MASTER_QUEUE'!A41,"")</x:f>
      </x:c>
      <x:c r="B41" s="30" t="str">
        <x:f>IF('MASTER_QUEUE'!$Y41="Ready",'MASTER_QUEUE'!B41,"")</x:f>
      </x:c>
      <x:c r="C41" s="30" t="str">
        <x:f>IF('MASTER_QUEUE'!$Y41="Ready",'MASTER_QUEUE'!C41,"")</x:f>
      </x:c>
      <x:c r="D41" s="30" t="str">
        <x:f>IF('MASTER_QUEUE'!$Y41="Ready",'MASTER_QUEUE'!D41,"")</x:f>
      </x:c>
      <x:c r="E41" s="30" t="str">
        <x:f>IF('MASTER_QUEUE'!$Y41="Ready",'MASTER_QUEUE'!E41,"")</x:f>
      </x:c>
      <x:c r="F41" s="30" t="str">
        <x:f>IF('MASTER_QUEUE'!$Y41="Ready",'MASTER_QUEUE'!F41,"")</x:f>
      </x:c>
      <x:c r="G41" s="30" t="str">
        <x:f>IF('MASTER_QUEUE'!$Y41="Ready",'MASTER_QUEUE'!G41,"")</x:f>
      </x:c>
      <x:c r="H41" s="99" t="str">
        <x:f>IF('MASTER_QUEUE'!$Y41="Ready",'MASTER_QUEUE'!H41,"")</x:f>
      </x:c>
    </x:row>
    <x:row r="42" ht="22" customHeight="1">
      <x:c r="A42" s="30" t="str">
        <x:f>IF('MASTER_QUEUE'!$Y42="Ready",'MASTER_QUEUE'!A42,"")</x:f>
      </x:c>
      <x:c r="B42" s="30" t="str">
        <x:f>IF('MASTER_QUEUE'!$Y42="Ready",'MASTER_QUEUE'!B42,"")</x:f>
      </x:c>
      <x:c r="C42" s="30" t="str">
        <x:f>IF('MASTER_QUEUE'!$Y42="Ready",'MASTER_QUEUE'!C42,"")</x:f>
      </x:c>
      <x:c r="D42" s="30" t="str">
        <x:f>IF('MASTER_QUEUE'!$Y42="Ready",'MASTER_QUEUE'!D42,"")</x:f>
      </x:c>
      <x:c r="E42" s="30" t="str">
        <x:f>IF('MASTER_QUEUE'!$Y42="Ready",'MASTER_QUEUE'!E42,"")</x:f>
      </x:c>
      <x:c r="F42" s="30" t="str">
        <x:f>IF('MASTER_QUEUE'!$Y42="Ready",'MASTER_QUEUE'!F42,"")</x:f>
      </x:c>
      <x:c r="G42" s="30" t="str">
        <x:f>IF('MASTER_QUEUE'!$Y42="Ready",'MASTER_QUEUE'!G42,"")</x:f>
      </x:c>
      <x:c r="H42" s="99" t="str">
        <x:f>IF('MASTER_QUEUE'!$Y42="Ready",'MASTER_QUEUE'!H42,"")</x:f>
      </x:c>
    </x:row>
    <x:row r="43" ht="22" customHeight="1">
      <x:c r="A43" s="30" t="str">
        <x:f>IF('MASTER_QUEUE'!$Y43="Ready",'MASTER_QUEUE'!A43,"")</x:f>
      </x:c>
      <x:c r="B43" s="30" t="str">
        <x:f>IF('MASTER_QUEUE'!$Y43="Ready",'MASTER_QUEUE'!B43,"")</x:f>
      </x:c>
      <x:c r="C43" s="30" t="str">
        <x:f>IF('MASTER_QUEUE'!$Y43="Ready",'MASTER_QUEUE'!C43,"")</x:f>
      </x:c>
      <x:c r="D43" s="30" t="str">
        <x:f>IF('MASTER_QUEUE'!$Y43="Ready",'MASTER_QUEUE'!D43,"")</x:f>
      </x:c>
      <x:c r="E43" s="30" t="str">
        <x:f>IF('MASTER_QUEUE'!$Y43="Ready",'MASTER_QUEUE'!E43,"")</x:f>
      </x:c>
      <x:c r="F43" s="30" t="str">
        <x:f>IF('MASTER_QUEUE'!$Y43="Ready",'MASTER_QUEUE'!F43,"")</x:f>
      </x:c>
      <x:c r="G43" s="30" t="str">
        <x:f>IF('MASTER_QUEUE'!$Y43="Ready",'MASTER_QUEUE'!G43,"")</x:f>
      </x:c>
      <x:c r="H43" s="99" t="str">
        <x:f>IF('MASTER_QUEUE'!$Y43="Ready",'MASTER_QUEUE'!H43,"")</x:f>
      </x:c>
    </x:row>
    <x:row r="44" ht="22" customHeight="1">
      <x:c r="A44" s="30" t="str">
        <x:f>IF('MASTER_QUEUE'!$Y44="Ready",'MASTER_QUEUE'!A44,"")</x:f>
      </x:c>
      <x:c r="B44" s="30" t="str">
        <x:f>IF('MASTER_QUEUE'!$Y44="Ready",'MASTER_QUEUE'!B44,"")</x:f>
      </x:c>
      <x:c r="C44" s="30" t="str">
        <x:f>IF('MASTER_QUEUE'!$Y44="Ready",'MASTER_QUEUE'!C44,"")</x:f>
      </x:c>
      <x:c r="D44" s="30" t="str">
        <x:f>IF('MASTER_QUEUE'!$Y44="Ready",'MASTER_QUEUE'!D44,"")</x:f>
      </x:c>
      <x:c r="E44" s="30" t="str">
        <x:f>IF('MASTER_QUEUE'!$Y44="Ready",'MASTER_QUEUE'!E44,"")</x:f>
      </x:c>
      <x:c r="F44" s="30" t="str">
        <x:f>IF('MASTER_QUEUE'!$Y44="Ready",'MASTER_QUEUE'!F44,"")</x:f>
      </x:c>
      <x:c r="G44" s="30" t="str">
        <x:f>IF('MASTER_QUEUE'!$Y44="Ready",'MASTER_QUEUE'!G44,"")</x:f>
      </x:c>
      <x:c r="H44" s="99" t="str">
        <x:f>IF('MASTER_QUEUE'!$Y44="Ready",'MASTER_QUEUE'!H44,"")</x:f>
      </x:c>
    </x:row>
    <x:row r="45" ht="22" customHeight="1">
      <x:c r="A45" s="30" t="str">
        <x:f>IF('MASTER_QUEUE'!$Y45="Ready",'MASTER_QUEUE'!A45,"")</x:f>
      </x:c>
      <x:c r="B45" s="30" t="str">
        <x:f>IF('MASTER_QUEUE'!$Y45="Ready",'MASTER_QUEUE'!B45,"")</x:f>
      </x:c>
      <x:c r="C45" s="30" t="str">
        <x:f>IF('MASTER_QUEUE'!$Y45="Ready",'MASTER_QUEUE'!C45,"")</x:f>
      </x:c>
      <x:c r="D45" s="30" t="str">
        <x:f>IF('MASTER_QUEUE'!$Y45="Ready",'MASTER_QUEUE'!D45,"")</x:f>
      </x:c>
      <x:c r="E45" s="30" t="str">
        <x:f>IF('MASTER_QUEUE'!$Y45="Ready",'MASTER_QUEUE'!E45,"")</x:f>
      </x:c>
      <x:c r="F45" s="30" t="str">
        <x:f>IF('MASTER_QUEUE'!$Y45="Ready",'MASTER_QUEUE'!F45,"")</x:f>
      </x:c>
      <x:c r="G45" s="30" t="str">
        <x:f>IF('MASTER_QUEUE'!$Y45="Ready",'MASTER_QUEUE'!G45,"")</x:f>
      </x:c>
      <x:c r="H45" s="99" t="str">
        <x:f>IF('MASTER_QUEUE'!$Y45="Ready",'MASTER_QUEUE'!H45,"")</x:f>
      </x:c>
    </x:row>
    <x:row r="46" ht="22" customHeight="1">
      <x:c r="A46" s="30" t="str">
        <x:f>IF('MASTER_QUEUE'!$Y46="Ready",'MASTER_QUEUE'!A46,"")</x:f>
      </x:c>
      <x:c r="B46" s="30" t="str">
        <x:f>IF('MASTER_QUEUE'!$Y46="Ready",'MASTER_QUEUE'!B46,"")</x:f>
      </x:c>
      <x:c r="C46" s="30" t="str">
        <x:f>IF('MASTER_QUEUE'!$Y46="Ready",'MASTER_QUEUE'!C46,"")</x:f>
      </x:c>
      <x:c r="D46" s="30" t="str">
        <x:f>IF('MASTER_QUEUE'!$Y46="Ready",'MASTER_QUEUE'!D46,"")</x:f>
      </x:c>
      <x:c r="E46" s="30" t="str">
        <x:f>IF('MASTER_QUEUE'!$Y46="Ready",'MASTER_QUEUE'!E46,"")</x:f>
      </x:c>
      <x:c r="F46" s="30" t="str">
        <x:f>IF('MASTER_QUEUE'!$Y46="Ready",'MASTER_QUEUE'!F46,"")</x:f>
      </x:c>
      <x:c r="G46" s="30" t="str">
        <x:f>IF('MASTER_QUEUE'!$Y46="Ready",'MASTER_QUEUE'!G46,"")</x:f>
      </x:c>
      <x:c r="H46" s="99" t="str">
        <x:f>IF('MASTER_QUEUE'!$Y46="Ready",'MASTER_QUEUE'!H46,"")</x:f>
      </x:c>
    </x:row>
    <x:row r="47" ht="22" customHeight="1">
      <x:c r="A47" s="30" t="str">
        <x:f>IF('MASTER_QUEUE'!$Y47="Ready",'MASTER_QUEUE'!A47,"")</x:f>
      </x:c>
      <x:c r="B47" s="30" t="str">
        <x:f>IF('MASTER_QUEUE'!$Y47="Ready",'MASTER_QUEUE'!B47,"")</x:f>
      </x:c>
      <x:c r="C47" s="30" t="str">
        <x:f>IF('MASTER_QUEUE'!$Y47="Ready",'MASTER_QUEUE'!C47,"")</x:f>
      </x:c>
      <x:c r="D47" s="30" t="str">
        <x:f>IF('MASTER_QUEUE'!$Y47="Ready",'MASTER_QUEUE'!D47,"")</x:f>
      </x:c>
      <x:c r="E47" s="30" t="str">
        <x:f>IF('MASTER_QUEUE'!$Y47="Ready",'MASTER_QUEUE'!E47,"")</x:f>
      </x:c>
      <x:c r="F47" s="30" t="str">
        <x:f>IF('MASTER_QUEUE'!$Y47="Ready",'MASTER_QUEUE'!F47,"")</x:f>
      </x:c>
      <x:c r="G47" s="30" t="str">
        <x:f>IF('MASTER_QUEUE'!$Y47="Ready",'MASTER_QUEUE'!G47,"")</x:f>
      </x:c>
      <x:c r="H47" s="99" t="str">
        <x:f>IF('MASTER_QUEUE'!$Y47="Ready",'MASTER_QUEUE'!H47,"")</x:f>
      </x:c>
    </x:row>
    <x:row r="48" ht="22" customHeight="1">
      <x:c r="A48" s="30" t="str">
        <x:f>IF('MASTER_QUEUE'!$Y48="Ready",'MASTER_QUEUE'!A48,"")</x:f>
      </x:c>
      <x:c r="B48" s="30" t="str">
        <x:f>IF('MASTER_QUEUE'!$Y48="Ready",'MASTER_QUEUE'!B48,"")</x:f>
      </x:c>
      <x:c r="C48" s="30" t="str">
        <x:f>IF('MASTER_QUEUE'!$Y48="Ready",'MASTER_QUEUE'!C48,"")</x:f>
      </x:c>
      <x:c r="D48" s="30" t="str">
        <x:f>IF('MASTER_QUEUE'!$Y48="Ready",'MASTER_QUEUE'!D48,"")</x:f>
      </x:c>
      <x:c r="E48" s="30" t="str">
        <x:f>IF('MASTER_QUEUE'!$Y48="Ready",'MASTER_QUEUE'!E48,"")</x:f>
      </x:c>
      <x:c r="F48" s="30" t="str">
        <x:f>IF('MASTER_QUEUE'!$Y48="Ready",'MASTER_QUEUE'!F48,"")</x:f>
      </x:c>
      <x:c r="G48" s="30" t="str">
        <x:f>IF('MASTER_QUEUE'!$Y48="Ready",'MASTER_QUEUE'!G48,"")</x:f>
      </x:c>
      <x:c r="H48" s="99" t="str">
        <x:f>IF('MASTER_QUEUE'!$Y48="Ready",'MASTER_QUEUE'!H48,"")</x:f>
      </x:c>
    </x:row>
    <x:row r="49" ht="22" customHeight="1">
      <x:c r="A49" s="30" t="str">
        <x:f>IF('MASTER_QUEUE'!$Y49="Ready",'MASTER_QUEUE'!A49,"")</x:f>
      </x:c>
      <x:c r="B49" s="30" t="str">
        <x:f>IF('MASTER_QUEUE'!$Y49="Ready",'MASTER_QUEUE'!B49,"")</x:f>
      </x:c>
      <x:c r="C49" s="30" t="str">
        <x:f>IF('MASTER_QUEUE'!$Y49="Ready",'MASTER_QUEUE'!C49,"")</x:f>
      </x:c>
      <x:c r="D49" s="30" t="str">
        <x:f>IF('MASTER_QUEUE'!$Y49="Ready",'MASTER_QUEUE'!D49,"")</x:f>
      </x:c>
      <x:c r="E49" s="30" t="str">
        <x:f>IF('MASTER_QUEUE'!$Y49="Ready",'MASTER_QUEUE'!E49,"")</x:f>
      </x:c>
      <x:c r="F49" s="30" t="str">
        <x:f>IF('MASTER_QUEUE'!$Y49="Ready",'MASTER_QUEUE'!F49,"")</x:f>
      </x:c>
      <x:c r="G49" s="30" t="str">
        <x:f>IF('MASTER_QUEUE'!$Y49="Ready",'MASTER_QUEUE'!G49,"")</x:f>
      </x:c>
      <x:c r="H49" s="99" t="str">
        <x:f>IF('MASTER_QUEUE'!$Y49="Ready",'MASTER_QUEUE'!H49,"")</x:f>
      </x:c>
    </x:row>
    <x:row r="50" ht="22" customHeight="1">
      <x:c r="A50" s="30" t="str">
        <x:f>IF('MASTER_QUEUE'!$Y50="Ready",'MASTER_QUEUE'!A50,"")</x:f>
      </x:c>
      <x:c r="B50" s="30" t="str">
        <x:f>IF('MASTER_QUEUE'!$Y50="Ready",'MASTER_QUEUE'!B50,"")</x:f>
      </x:c>
      <x:c r="C50" s="30" t="str">
        <x:f>IF('MASTER_QUEUE'!$Y50="Ready",'MASTER_QUEUE'!C50,"")</x:f>
      </x:c>
      <x:c r="D50" s="30" t="str">
        <x:f>IF('MASTER_QUEUE'!$Y50="Ready",'MASTER_QUEUE'!D50,"")</x:f>
      </x:c>
      <x:c r="E50" s="30" t="str">
        <x:f>IF('MASTER_QUEUE'!$Y50="Ready",'MASTER_QUEUE'!E50,"")</x:f>
      </x:c>
      <x:c r="F50" s="30" t="str">
        <x:f>IF('MASTER_QUEUE'!$Y50="Ready",'MASTER_QUEUE'!F50,"")</x:f>
      </x:c>
      <x:c r="G50" s="30" t="str">
        <x:f>IF('MASTER_QUEUE'!$Y50="Ready",'MASTER_QUEUE'!G50,"")</x:f>
      </x:c>
      <x:c r="H50" s="99" t="str">
        <x:f>IF('MASTER_QUEUE'!$Y50="Ready",'MASTER_QUEUE'!H50,"")</x:f>
      </x:c>
    </x:row>
    <x:row r="51" ht="22" customHeight="1">
      <x:c r="A51" s="30" t="str">
        <x:f>IF('MASTER_QUEUE'!$Y51="Ready",'MASTER_QUEUE'!A51,"")</x:f>
      </x:c>
      <x:c r="B51" s="30" t="str">
        <x:f>IF('MASTER_QUEUE'!$Y51="Ready",'MASTER_QUEUE'!B51,"")</x:f>
      </x:c>
      <x:c r="C51" s="30" t="str">
        <x:f>IF('MASTER_QUEUE'!$Y51="Ready",'MASTER_QUEUE'!C51,"")</x:f>
      </x:c>
      <x:c r="D51" s="30" t="str">
        <x:f>IF('MASTER_QUEUE'!$Y51="Ready",'MASTER_QUEUE'!D51,"")</x:f>
      </x:c>
      <x:c r="E51" s="30" t="str">
        <x:f>IF('MASTER_QUEUE'!$Y51="Ready",'MASTER_QUEUE'!E51,"")</x:f>
      </x:c>
      <x:c r="F51" s="30" t="str">
        <x:f>IF('MASTER_QUEUE'!$Y51="Ready",'MASTER_QUEUE'!F51,"")</x:f>
      </x:c>
      <x:c r="G51" s="30" t="str">
        <x:f>IF('MASTER_QUEUE'!$Y51="Ready",'MASTER_QUEUE'!G51,"")</x:f>
      </x:c>
      <x:c r="H51" s="99" t="str">
        <x:f>IF('MASTER_QUEUE'!$Y51="Ready",'MASTER_QUEUE'!H51,"")</x:f>
      </x:c>
    </x:row>
    <x:row r="52" ht="22" customHeight="1">
      <x:c r="A52" s="30" t="str">
        <x:f>IF('MASTER_QUEUE'!$Y52="Ready",'MASTER_QUEUE'!A52,"")</x:f>
      </x:c>
      <x:c r="B52" s="30" t="str">
        <x:f>IF('MASTER_QUEUE'!$Y52="Ready",'MASTER_QUEUE'!B52,"")</x:f>
      </x:c>
      <x:c r="C52" s="30" t="str">
        <x:f>IF('MASTER_QUEUE'!$Y52="Ready",'MASTER_QUEUE'!C52,"")</x:f>
      </x:c>
      <x:c r="D52" s="30" t="str">
        <x:f>IF('MASTER_QUEUE'!$Y52="Ready",'MASTER_QUEUE'!D52,"")</x:f>
      </x:c>
      <x:c r="E52" s="30" t="str">
        <x:f>IF('MASTER_QUEUE'!$Y52="Ready",'MASTER_QUEUE'!E52,"")</x:f>
      </x:c>
      <x:c r="F52" s="30" t="str">
        <x:f>IF('MASTER_QUEUE'!$Y52="Ready",'MASTER_QUEUE'!F52,"")</x:f>
      </x:c>
      <x:c r="G52" s="30" t="str">
        <x:f>IF('MASTER_QUEUE'!$Y52="Ready",'MASTER_QUEUE'!G52,"")</x:f>
      </x:c>
      <x:c r="H52" s="99" t="str">
        <x:f>IF('MASTER_QUEUE'!$Y52="Ready",'MASTER_QUEUE'!H52,"")</x:f>
      </x:c>
    </x:row>
    <x:row r="53" ht="22" customHeight="1">
      <x:c r="A53" s="30" t="str">
        <x:f>IF('MASTER_QUEUE'!$Y53="Ready",'MASTER_QUEUE'!A53,"")</x:f>
      </x:c>
      <x:c r="B53" s="30" t="str">
        <x:f>IF('MASTER_QUEUE'!$Y53="Ready",'MASTER_QUEUE'!B53,"")</x:f>
      </x:c>
      <x:c r="C53" s="30" t="str">
        <x:f>IF('MASTER_QUEUE'!$Y53="Ready",'MASTER_QUEUE'!C53,"")</x:f>
      </x:c>
      <x:c r="D53" s="30" t="str">
        <x:f>IF('MASTER_QUEUE'!$Y53="Ready",'MASTER_QUEUE'!D53,"")</x:f>
      </x:c>
      <x:c r="E53" s="30" t="str">
        <x:f>IF('MASTER_QUEUE'!$Y53="Ready",'MASTER_QUEUE'!E53,"")</x:f>
      </x:c>
      <x:c r="F53" s="30" t="str">
        <x:f>IF('MASTER_QUEUE'!$Y53="Ready",'MASTER_QUEUE'!F53,"")</x:f>
      </x:c>
      <x:c r="G53" s="30" t="str">
        <x:f>IF('MASTER_QUEUE'!$Y53="Ready",'MASTER_QUEUE'!G53,"")</x:f>
      </x:c>
      <x:c r="H53" s="99" t="str">
        <x:f>IF('MASTER_QUEUE'!$Y53="Ready",'MASTER_QUEUE'!H53,"")</x:f>
      </x:c>
    </x:row>
    <x:row r="54" ht="22" customHeight="1">
      <x:c r="A54" s="30" t="str">
        <x:f>IF('MASTER_QUEUE'!$Y54="Ready",'MASTER_QUEUE'!A54,"")</x:f>
      </x:c>
      <x:c r="B54" s="30" t="str">
        <x:f>IF('MASTER_QUEUE'!$Y54="Ready",'MASTER_QUEUE'!B54,"")</x:f>
      </x:c>
      <x:c r="C54" s="30" t="str">
        <x:f>IF('MASTER_QUEUE'!$Y54="Ready",'MASTER_QUEUE'!C54,"")</x:f>
      </x:c>
      <x:c r="D54" s="30" t="str">
        <x:f>IF('MASTER_QUEUE'!$Y54="Ready",'MASTER_QUEUE'!D54,"")</x:f>
      </x:c>
      <x:c r="E54" s="30" t="str">
        <x:f>IF('MASTER_QUEUE'!$Y54="Ready",'MASTER_QUEUE'!E54,"")</x:f>
      </x:c>
      <x:c r="F54" s="30" t="str">
        <x:f>IF('MASTER_QUEUE'!$Y54="Ready",'MASTER_QUEUE'!F54,"")</x:f>
      </x:c>
      <x:c r="G54" s="30" t="str">
        <x:f>IF('MASTER_QUEUE'!$Y54="Ready",'MASTER_QUEUE'!G54,"")</x:f>
      </x:c>
      <x:c r="H54" s="99" t="str">
        <x:f>IF('MASTER_QUEUE'!$Y54="Ready",'MASTER_QUEUE'!H54,"")</x:f>
      </x:c>
    </x:row>
    <x:row r="55" ht="22" customHeight="1">
      <x:c r="A55" s="30" t="str">
        <x:f>IF('MASTER_QUEUE'!$Y55="Ready",'MASTER_QUEUE'!A55,"")</x:f>
      </x:c>
      <x:c r="B55" s="30" t="str">
        <x:f>IF('MASTER_QUEUE'!$Y55="Ready",'MASTER_QUEUE'!B55,"")</x:f>
      </x:c>
      <x:c r="C55" s="30" t="str">
        <x:f>IF('MASTER_QUEUE'!$Y55="Ready",'MASTER_QUEUE'!C55,"")</x:f>
      </x:c>
      <x:c r="D55" s="30" t="str">
        <x:f>IF('MASTER_QUEUE'!$Y55="Ready",'MASTER_QUEUE'!D55,"")</x:f>
      </x:c>
      <x:c r="E55" s="30" t="str">
        <x:f>IF('MASTER_QUEUE'!$Y55="Ready",'MASTER_QUEUE'!E55,"")</x:f>
      </x:c>
      <x:c r="F55" s="30" t="str">
        <x:f>IF('MASTER_QUEUE'!$Y55="Ready",'MASTER_QUEUE'!F55,"")</x:f>
      </x:c>
      <x:c r="G55" s="30" t="str">
        <x:f>IF('MASTER_QUEUE'!$Y55="Ready",'MASTER_QUEUE'!G55,"")</x:f>
      </x:c>
      <x:c r="H55" s="99" t="str">
        <x:f>IF('MASTER_QUEUE'!$Y55="Ready",'MASTER_QUEUE'!H55,"")</x:f>
      </x:c>
    </x:row>
    <x:row r="56" ht="22" customHeight="1">
      <x:c r="A56" s="30" t="str">
        <x:f>IF('MASTER_QUEUE'!$Y56="Ready",'MASTER_QUEUE'!A56,"")</x:f>
      </x:c>
      <x:c r="B56" s="30" t="str">
        <x:f>IF('MASTER_QUEUE'!$Y56="Ready",'MASTER_QUEUE'!B56,"")</x:f>
      </x:c>
      <x:c r="C56" s="30" t="str">
        <x:f>IF('MASTER_QUEUE'!$Y56="Ready",'MASTER_QUEUE'!C56,"")</x:f>
      </x:c>
      <x:c r="D56" s="30" t="str">
        <x:f>IF('MASTER_QUEUE'!$Y56="Ready",'MASTER_QUEUE'!D56,"")</x:f>
      </x:c>
      <x:c r="E56" s="30" t="str">
        <x:f>IF('MASTER_QUEUE'!$Y56="Ready",'MASTER_QUEUE'!E56,"")</x:f>
      </x:c>
      <x:c r="F56" s="30" t="str">
        <x:f>IF('MASTER_QUEUE'!$Y56="Ready",'MASTER_QUEUE'!F56,"")</x:f>
      </x:c>
      <x:c r="G56" s="30" t="str">
        <x:f>IF('MASTER_QUEUE'!$Y56="Ready",'MASTER_QUEUE'!G56,"")</x:f>
      </x:c>
      <x:c r="H56" s="99" t="str">
        <x:f>IF('MASTER_QUEUE'!$Y56="Ready",'MASTER_QUEUE'!H56,"")</x:f>
      </x:c>
    </x:row>
    <x:row r="57" ht="22" customHeight="1">
      <x:c r="A57" s="30" t="str">
        <x:f>IF('MASTER_QUEUE'!$Y57="Ready",'MASTER_QUEUE'!A57,"")</x:f>
      </x:c>
      <x:c r="B57" s="30" t="str">
        <x:f>IF('MASTER_QUEUE'!$Y57="Ready",'MASTER_QUEUE'!B57,"")</x:f>
      </x:c>
      <x:c r="C57" s="30" t="str">
        <x:f>IF('MASTER_QUEUE'!$Y57="Ready",'MASTER_QUEUE'!C57,"")</x:f>
      </x:c>
      <x:c r="D57" s="30" t="str">
        <x:f>IF('MASTER_QUEUE'!$Y57="Ready",'MASTER_QUEUE'!D57,"")</x:f>
      </x:c>
      <x:c r="E57" s="30" t="str">
        <x:f>IF('MASTER_QUEUE'!$Y57="Ready",'MASTER_QUEUE'!E57,"")</x:f>
      </x:c>
      <x:c r="F57" s="30" t="str">
        <x:f>IF('MASTER_QUEUE'!$Y57="Ready",'MASTER_QUEUE'!F57,"")</x:f>
      </x:c>
      <x:c r="G57" s="30" t="str">
        <x:f>IF('MASTER_QUEUE'!$Y57="Ready",'MASTER_QUEUE'!G57,"")</x:f>
      </x:c>
      <x:c r="H57" s="99" t="str">
        <x:f>IF('MASTER_QUEUE'!$Y57="Ready",'MASTER_QUEUE'!H57,"")</x:f>
      </x:c>
    </x:row>
    <x:row r="58" ht="22" customHeight="1">
      <x:c r="A58" s="30" t="str">
        <x:f>IF('MASTER_QUEUE'!$Y58="Ready",'MASTER_QUEUE'!A58,"")</x:f>
      </x:c>
      <x:c r="B58" s="30" t="str">
        <x:f>IF('MASTER_QUEUE'!$Y58="Ready",'MASTER_QUEUE'!B58,"")</x:f>
      </x:c>
      <x:c r="C58" s="30" t="str">
        <x:f>IF('MASTER_QUEUE'!$Y58="Ready",'MASTER_QUEUE'!C58,"")</x:f>
      </x:c>
      <x:c r="D58" s="30" t="str">
        <x:f>IF('MASTER_QUEUE'!$Y58="Ready",'MASTER_QUEUE'!D58,"")</x:f>
      </x:c>
      <x:c r="E58" s="30" t="str">
        <x:f>IF('MASTER_QUEUE'!$Y58="Ready",'MASTER_QUEUE'!E58,"")</x:f>
      </x:c>
      <x:c r="F58" s="30" t="str">
        <x:f>IF('MASTER_QUEUE'!$Y58="Ready",'MASTER_QUEUE'!F58,"")</x:f>
      </x:c>
      <x:c r="G58" s="30" t="str">
        <x:f>IF('MASTER_QUEUE'!$Y58="Ready",'MASTER_QUEUE'!G58,"")</x:f>
      </x:c>
      <x:c r="H58" s="99" t="str">
        <x:f>IF('MASTER_QUEUE'!$Y58="Ready",'MASTER_QUEUE'!H58,"")</x:f>
      </x:c>
    </x:row>
    <x:row r="59" ht="22" customHeight="1">
      <x:c r="A59" s="30" t="str">
        <x:f>IF('MASTER_QUEUE'!$Y59="Ready",'MASTER_QUEUE'!A59,"")</x:f>
      </x:c>
      <x:c r="B59" s="30" t="str">
        <x:f>IF('MASTER_QUEUE'!$Y59="Ready",'MASTER_QUEUE'!B59,"")</x:f>
      </x:c>
      <x:c r="C59" s="30" t="str">
        <x:f>IF('MASTER_QUEUE'!$Y59="Ready",'MASTER_QUEUE'!C59,"")</x:f>
      </x:c>
      <x:c r="D59" s="30" t="str">
        <x:f>IF('MASTER_QUEUE'!$Y59="Ready",'MASTER_QUEUE'!D59,"")</x:f>
      </x:c>
      <x:c r="E59" s="30" t="str">
        <x:f>IF('MASTER_QUEUE'!$Y59="Ready",'MASTER_QUEUE'!E59,"")</x:f>
      </x:c>
      <x:c r="F59" s="30" t="str">
        <x:f>IF('MASTER_QUEUE'!$Y59="Ready",'MASTER_QUEUE'!F59,"")</x:f>
      </x:c>
      <x:c r="G59" s="30" t="str">
        <x:f>IF('MASTER_QUEUE'!$Y59="Ready",'MASTER_QUEUE'!G59,"")</x:f>
      </x:c>
      <x:c r="H59" s="99" t="str">
        <x:f>IF('MASTER_QUEUE'!$Y59="Ready",'MASTER_QUEUE'!H59,"")</x:f>
      </x:c>
    </x:row>
    <x:row r="60" ht="22" customHeight="1">
      <x:c r="A60" s="30" t="str">
        <x:f>IF('MASTER_QUEUE'!$Y60="Ready",'MASTER_QUEUE'!A60,"")</x:f>
      </x:c>
      <x:c r="B60" s="30" t="str">
        <x:f>IF('MASTER_QUEUE'!$Y60="Ready",'MASTER_QUEUE'!B60,"")</x:f>
      </x:c>
      <x:c r="C60" s="30" t="str">
        <x:f>IF('MASTER_QUEUE'!$Y60="Ready",'MASTER_QUEUE'!C60,"")</x:f>
      </x:c>
      <x:c r="D60" s="30" t="str">
        <x:f>IF('MASTER_QUEUE'!$Y60="Ready",'MASTER_QUEUE'!D60,"")</x:f>
      </x:c>
      <x:c r="E60" s="30" t="str">
        <x:f>IF('MASTER_QUEUE'!$Y60="Ready",'MASTER_QUEUE'!E60,"")</x:f>
      </x:c>
      <x:c r="F60" s="30" t="str">
        <x:f>IF('MASTER_QUEUE'!$Y60="Ready",'MASTER_QUEUE'!F60,"")</x:f>
      </x:c>
      <x:c r="G60" s="30" t="str">
        <x:f>IF('MASTER_QUEUE'!$Y60="Ready",'MASTER_QUEUE'!G60,"")</x:f>
      </x:c>
      <x:c r="H60" s="99" t="str">
        <x:f>IF('MASTER_QUEUE'!$Y60="Ready",'MASTER_QUEUE'!H60,"")</x:f>
      </x:c>
    </x:row>
    <x:row r="61" ht="22" customHeight="1">
      <x:c r="A61" s="30" t="str">
        <x:f>IF('MASTER_QUEUE'!$Y61="Ready",'MASTER_QUEUE'!A61,"")</x:f>
      </x:c>
      <x:c r="B61" s="30" t="str">
        <x:f>IF('MASTER_QUEUE'!$Y61="Ready",'MASTER_QUEUE'!B61,"")</x:f>
      </x:c>
      <x:c r="C61" s="30" t="str">
        <x:f>IF('MASTER_QUEUE'!$Y61="Ready",'MASTER_QUEUE'!C61,"")</x:f>
      </x:c>
      <x:c r="D61" s="30" t="str">
        <x:f>IF('MASTER_QUEUE'!$Y61="Ready",'MASTER_QUEUE'!D61,"")</x:f>
      </x:c>
      <x:c r="E61" s="30" t="str">
        <x:f>IF('MASTER_QUEUE'!$Y61="Ready",'MASTER_QUEUE'!E61,"")</x:f>
      </x:c>
      <x:c r="F61" s="30" t="str">
        <x:f>IF('MASTER_QUEUE'!$Y61="Ready",'MASTER_QUEUE'!F61,"")</x:f>
      </x:c>
      <x:c r="G61" s="30" t="str">
        <x:f>IF('MASTER_QUEUE'!$Y61="Ready",'MASTER_QUEUE'!G61,"")</x:f>
      </x:c>
      <x:c r="H61" s="99" t="str">
        <x:f>IF('MASTER_QUEUE'!$Y61="Ready",'MASTER_QUEUE'!H61,"")</x:f>
      </x:c>
    </x:row>
    <x:row r="62" ht="22" customHeight="1">
      <x:c r="A62" s="30" t="str">
        <x:f>IF('MASTER_QUEUE'!$Y62="Ready",'MASTER_QUEUE'!A62,"")</x:f>
      </x:c>
      <x:c r="B62" s="30" t="str">
        <x:f>IF('MASTER_QUEUE'!$Y62="Ready",'MASTER_QUEUE'!B62,"")</x:f>
      </x:c>
      <x:c r="C62" s="30" t="str">
        <x:f>IF('MASTER_QUEUE'!$Y62="Ready",'MASTER_QUEUE'!C62,"")</x:f>
      </x:c>
      <x:c r="D62" s="30" t="str">
        <x:f>IF('MASTER_QUEUE'!$Y62="Ready",'MASTER_QUEUE'!D62,"")</x:f>
      </x:c>
      <x:c r="E62" s="30" t="str">
        <x:f>IF('MASTER_QUEUE'!$Y62="Ready",'MASTER_QUEUE'!E62,"")</x:f>
      </x:c>
      <x:c r="F62" s="30" t="str">
        <x:f>IF('MASTER_QUEUE'!$Y62="Ready",'MASTER_QUEUE'!F62,"")</x:f>
      </x:c>
      <x:c r="G62" s="30" t="str">
        <x:f>IF('MASTER_QUEUE'!$Y62="Ready",'MASTER_QUEUE'!G62,"")</x:f>
      </x:c>
      <x:c r="H62" s="99" t="str">
        <x:f>IF('MASTER_QUEUE'!$Y62="Ready",'MASTER_QUEUE'!H62,"")</x:f>
      </x:c>
    </x:row>
    <x:row r="63" ht="22" customHeight="1">
      <x:c r="A63" s="30" t="str">
        <x:f>IF('MASTER_QUEUE'!$Y63="Ready",'MASTER_QUEUE'!A63,"")</x:f>
      </x:c>
      <x:c r="B63" s="30" t="str">
        <x:f>IF('MASTER_QUEUE'!$Y63="Ready",'MASTER_QUEUE'!B63,"")</x:f>
      </x:c>
      <x:c r="C63" s="30" t="str">
        <x:f>IF('MASTER_QUEUE'!$Y63="Ready",'MASTER_QUEUE'!C63,"")</x:f>
      </x:c>
      <x:c r="D63" s="30" t="str">
        <x:f>IF('MASTER_QUEUE'!$Y63="Ready",'MASTER_QUEUE'!D63,"")</x:f>
      </x:c>
      <x:c r="E63" s="30" t="str">
        <x:f>IF('MASTER_QUEUE'!$Y63="Ready",'MASTER_QUEUE'!E63,"")</x:f>
      </x:c>
      <x:c r="F63" s="30" t="str">
        <x:f>IF('MASTER_QUEUE'!$Y63="Ready",'MASTER_QUEUE'!F63,"")</x:f>
      </x:c>
      <x:c r="G63" s="30" t="str">
        <x:f>IF('MASTER_QUEUE'!$Y63="Ready",'MASTER_QUEUE'!G63,"")</x:f>
      </x:c>
      <x:c r="H63" s="99" t="str">
        <x:f>IF('MASTER_QUEUE'!$Y63="Ready",'MASTER_QUEUE'!H63,"")</x:f>
      </x:c>
    </x:row>
    <x:row r="64" ht="22" customHeight="1">
      <x:c r="A64" s="30" t="str">
        <x:f>IF('MASTER_QUEUE'!$Y64="Ready",'MASTER_QUEUE'!A64,"")</x:f>
      </x:c>
      <x:c r="B64" s="30" t="str">
        <x:f>IF('MASTER_QUEUE'!$Y64="Ready",'MASTER_QUEUE'!B64,"")</x:f>
      </x:c>
      <x:c r="C64" s="30" t="str">
        <x:f>IF('MASTER_QUEUE'!$Y64="Ready",'MASTER_QUEUE'!C64,"")</x:f>
      </x:c>
      <x:c r="D64" s="30" t="str">
        <x:f>IF('MASTER_QUEUE'!$Y64="Ready",'MASTER_QUEUE'!D64,"")</x:f>
      </x:c>
      <x:c r="E64" s="30" t="str">
        <x:f>IF('MASTER_QUEUE'!$Y64="Ready",'MASTER_QUEUE'!E64,"")</x:f>
      </x:c>
      <x:c r="F64" s="30" t="str">
        <x:f>IF('MASTER_QUEUE'!$Y64="Ready",'MASTER_QUEUE'!F64,"")</x:f>
      </x:c>
      <x:c r="G64" s="30" t="str">
        <x:f>IF('MASTER_QUEUE'!$Y64="Ready",'MASTER_QUEUE'!G64,"")</x:f>
      </x:c>
      <x:c r="H64" s="99" t="str">
        <x:f>IF('MASTER_QUEUE'!$Y64="Ready",'MASTER_QUEUE'!H64,"")</x:f>
      </x:c>
    </x:row>
    <x:row r="65" ht="22" customHeight="1">
      <x:c r="A65" s="30" t="str">
        <x:f>IF('MASTER_QUEUE'!$Y65="Ready",'MASTER_QUEUE'!A65,"")</x:f>
      </x:c>
      <x:c r="B65" s="30" t="str">
        <x:f>IF('MASTER_QUEUE'!$Y65="Ready",'MASTER_QUEUE'!B65,"")</x:f>
      </x:c>
      <x:c r="C65" s="30" t="str">
        <x:f>IF('MASTER_QUEUE'!$Y65="Ready",'MASTER_QUEUE'!C65,"")</x:f>
      </x:c>
      <x:c r="D65" s="30" t="str">
        <x:f>IF('MASTER_QUEUE'!$Y65="Ready",'MASTER_QUEUE'!D65,"")</x:f>
      </x:c>
      <x:c r="E65" s="30" t="str">
        <x:f>IF('MASTER_QUEUE'!$Y65="Ready",'MASTER_QUEUE'!E65,"")</x:f>
      </x:c>
      <x:c r="F65" s="30" t="str">
        <x:f>IF('MASTER_QUEUE'!$Y65="Ready",'MASTER_QUEUE'!F65,"")</x:f>
      </x:c>
      <x:c r="G65" s="30" t="str">
        <x:f>IF('MASTER_QUEUE'!$Y65="Ready",'MASTER_QUEUE'!G65,"")</x:f>
      </x:c>
      <x:c r="H65" s="99" t="str">
        <x:f>IF('MASTER_QUEUE'!$Y65="Ready",'MASTER_QUEUE'!H65,"")</x:f>
      </x:c>
    </x:row>
    <x:row r="66" ht="22" customHeight="1">
      <x:c r="A66" s="30" t="str">
        <x:f>IF('MASTER_QUEUE'!$Y66="Ready",'MASTER_QUEUE'!A66,"")</x:f>
      </x:c>
      <x:c r="B66" s="30" t="str">
        <x:f>IF('MASTER_QUEUE'!$Y66="Ready",'MASTER_QUEUE'!B66,"")</x:f>
      </x:c>
      <x:c r="C66" s="30" t="str">
        <x:f>IF('MASTER_QUEUE'!$Y66="Ready",'MASTER_QUEUE'!C66,"")</x:f>
      </x:c>
      <x:c r="D66" s="30" t="str">
        <x:f>IF('MASTER_QUEUE'!$Y66="Ready",'MASTER_QUEUE'!D66,"")</x:f>
      </x:c>
      <x:c r="E66" s="30" t="str">
        <x:f>IF('MASTER_QUEUE'!$Y66="Ready",'MASTER_QUEUE'!E66,"")</x:f>
      </x:c>
      <x:c r="F66" s="30" t="str">
        <x:f>IF('MASTER_QUEUE'!$Y66="Ready",'MASTER_QUEUE'!F66,"")</x:f>
      </x:c>
      <x:c r="G66" s="30" t="str">
        <x:f>IF('MASTER_QUEUE'!$Y66="Ready",'MASTER_QUEUE'!G66,"")</x:f>
      </x:c>
      <x:c r="H66" s="99" t="str">
        <x:f>IF('MASTER_QUEUE'!$Y66="Ready",'MASTER_QUEUE'!H66,"")</x:f>
      </x:c>
    </x:row>
    <x:row r="67" ht="22" customHeight="1">
      <x:c r="A67" s="30" t="str">
        <x:f>IF('MASTER_QUEUE'!$Y67="Ready",'MASTER_QUEUE'!A67,"")</x:f>
      </x:c>
      <x:c r="B67" s="30" t="str">
        <x:f>IF('MASTER_QUEUE'!$Y67="Ready",'MASTER_QUEUE'!B67,"")</x:f>
      </x:c>
      <x:c r="C67" s="30" t="str">
        <x:f>IF('MASTER_QUEUE'!$Y67="Ready",'MASTER_QUEUE'!C67,"")</x:f>
      </x:c>
      <x:c r="D67" s="30" t="str">
        <x:f>IF('MASTER_QUEUE'!$Y67="Ready",'MASTER_QUEUE'!D67,"")</x:f>
      </x:c>
      <x:c r="E67" s="30" t="str">
        <x:f>IF('MASTER_QUEUE'!$Y67="Ready",'MASTER_QUEUE'!E67,"")</x:f>
      </x:c>
      <x:c r="F67" s="30" t="str">
        <x:f>IF('MASTER_QUEUE'!$Y67="Ready",'MASTER_QUEUE'!F67,"")</x:f>
      </x:c>
      <x:c r="G67" s="30" t="str">
        <x:f>IF('MASTER_QUEUE'!$Y67="Ready",'MASTER_QUEUE'!G67,"")</x:f>
      </x:c>
      <x:c r="H67" s="99" t="str">
        <x:f>IF('MASTER_QUEUE'!$Y67="Ready",'MASTER_QUEUE'!H67,"")</x:f>
      </x:c>
    </x:row>
    <x:row r="68" ht="22" customHeight="1">
      <x:c r="A68" s="30" t="str">
        <x:f>IF('MASTER_QUEUE'!$Y68="Ready",'MASTER_QUEUE'!A68,"")</x:f>
      </x:c>
      <x:c r="B68" s="30" t="str">
        <x:f>IF('MASTER_QUEUE'!$Y68="Ready",'MASTER_QUEUE'!B68,"")</x:f>
      </x:c>
      <x:c r="C68" s="30" t="str">
        <x:f>IF('MASTER_QUEUE'!$Y68="Ready",'MASTER_QUEUE'!C68,"")</x:f>
      </x:c>
      <x:c r="D68" s="30" t="str">
        <x:f>IF('MASTER_QUEUE'!$Y68="Ready",'MASTER_QUEUE'!D68,"")</x:f>
      </x:c>
      <x:c r="E68" s="30" t="str">
        <x:f>IF('MASTER_QUEUE'!$Y68="Ready",'MASTER_QUEUE'!E68,"")</x:f>
      </x:c>
      <x:c r="F68" s="30" t="str">
        <x:f>IF('MASTER_QUEUE'!$Y68="Ready",'MASTER_QUEUE'!F68,"")</x:f>
      </x:c>
      <x:c r="G68" s="30" t="str">
        <x:f>IF('MASTER_QUEUE'!$Y68="Ready",'MASTER_QUEUE'!G68,"")</x:f>
      </x:c>
      <x:c r="H68" s="99" t="str">
        <x:f>IF('MASTER_QUEUE'!$Y68="Ready",'MASTER_QUEUE'!H68,"")</x:f>
      </x:c>
    </x:row>
    <x:row r="69" ht="22" customHeight="1">
      <x:c r="A69" s="30" t="str">
        <x:f>IF('MASTER_QUEUE'!$Y69="Ready",'MASTER_QUEUE'!A69,"")</x:f>
      </x:c>
      <x:c r="B69" s="30" t="str">
        <x:f>IF('MASTER_QUEUE'!$Y69="Ready",'MASTER_QUEUE'!B69,"")</x:f>
      </x:c>
      <x:c r="C69" s="30" t="str">
        <x:f>IF('MASTER_QUEUE'!$Y69="Ready",'MASTER_QUEUE'!C69,"")</x:f>
      </x:c>
      <x:c r="D69" s="30" t="str">
        <x:f>IF('MASTER_QUEUE'!$Y69="Ready",'MASTER_QUEUE'!D69,"")</x:f>
      </x:c>
      <x:c r="E69" s="30" t="str">
        <x:f>IF('MASTER_QUEUE'!$Y69="Ready",'MASTER_QUEUE'!E69,"")</x:f>
      </x:c>
      <x:c r="F69" s="30" t="str">
        <x:f>IF('MASTER_QUEUE'!$Y69="Ready",'MASTER_QUEUE'!F69,"")</x:f>
      </x:c>
      <x:c r="G69" s="30" t="str">
        <x:f>IF('MASTER_QUEUE'!$Y69="Ready",'MASTER_QUEUE'!G69,"")</x:f>
      </x:c>
      <x:c r="H69" s="99" t="str">
        <x:f>IF('MASTER_QUEUE'!$Y69="Ready",'MASTER_QUEUE'!H69,"")</x:f>
      </x:c>
    </x:row>
    <x:row r="70" ht="22" customHeight="1">
      <x:c r="A70" s="30" t="str">
        <x:f>IF('MASTER_QUEUE'!$Y70="Ready",'MASTER_QUEUE'!A70,"")</x:f>
      </x:c>
      <x:c r="B70" s="30" t="str">
        <x:f>IF('MASTER_QUEUE'!$Y70="Ready",'MASTER_QUEUE'!B70,"")</x:f>
      </x:c>
      <x:c r="C70" s="30" t="str">
        <x:f>IF('MASTER_QUEUE'!$Y70="Ready",'MASTER_QUEUE'!C70,"")</x:f>
      </x:c>
      <x:c r="D70" s="30" t="str">
        <x:f>IF('MASTER_QUEUE'!$Y70="Ready",'MASTER_QUEUE'!D70,"")</x:f>
      </x:c>
      <x:c r="E70" s="30" t="str">
        <x:f>IF('MASTER_QUEUE'!$Y70="Ready",'MASTER_QUEUE'!E70,"")</x:f>
      </x:c>
      <x:c r="F70" s="30" t="str">
        <x:f>IF('MASTER_QUEUE'!$Y70="Ready",'MASTER_QUEUE'!F70,"")</x:f>
      </x:c>
      <x:c r="G70" s="30" t="str">
        <x:f>IF('MASTER_QUEUE'!$Y70="Ready",'MASTER_QUEUE'!G70,"")</x:f>
      </x:c>
      <x:c r="H70" s="99" t="str">
        <x:f>IF('MASTER_QUEUE'!$Y70="Ready",'MASTER_QUEUE'!H70,"")</x:f>
      </x:c>
    </x:row>
    <x:row r="71" ht="22" customHeight="1">
      <x:c r="A71" s="30" t="str">
        <x:f>IF('MASTER_QUEUE'!$Y71="Ready",'MASTER_QUEUE'!A71,"")</x:f>
      </x:c>
      <x:c r="B71" s="30" t="str">
        <x:f>IF('MASTER_QUEUE'!$Y71="Ready",'MASTER_QUEUE'!B71,"")</x:f>
      </x:c>
      <x:c r="C71" s="30" t="str">
        <x:f>IF('MASTER_QUEUE'!$Y71="Ready",'MASTER_QUEUE'!C71,"")</x:f>
      </x:c>
      <x:c r="D71" s="30" t="str">
        <x:f>IF('MASTER_QUEUE'!$Y71="Ready",'MASTER_QUEUE'!D71,"")</x:f>
      </x:c>
      <x:c r="E71" s="30" t="str">
        <x:f>IF('MASTER_QUEUE'!$Y71="Ready",'MASTER_QUEUE'!E71,"")</x:f>
      </x:c>
      <x:c r="F71" s="30" t="str">
        <x:f>IF('MASTER_QUEUE'!$Y71="Ready",'MASTER_QUEUE'!F71,"")</x:f>
      </x:c>
      <x:c r="G71" s="30" t="str">
        <x:f>IF('MASTER_QUEUE'!$Y71="Ready",'MASTER_QUEUE'!G71,"")</x:f>
      </x:c>
      <x:c r="H71" s="99" t="str">
        <x:f>IF('MASTER_QUEUE'!$Y71="Ready",'MASTER_QUEUE'!H71,"")</x:f>
      </x:c>
    </x:row>
    <x:row r="72" ht="22" customHeight="1">
      <x:c r="A72" s="30" t="str">
        <x:f>IF('MASTER_QUEUE'!$Y72="Ready",'MASTER_QUEUE'!A72,"")</x:f>
      </x:c>
      <x:c r="B72" s="30" t="str">
        <x:f>IF('MASTER_QUEUE'!$Y72="Ready",'MASTER_QUEUE'!B72,"")</x:f>
      </x:c>
      <x:c r="C72" s="30" t="str">
        <x:f>IF('MASTER_QUEUE'!$Y72="Ready",'MASTER_QUEUE'!C72,"")</x:f>
      </x:c>
      <x:c r="D72" s="30" t="str">
        <x:f>IF('MASTER_QUEUE'!$Y72="Ready",'MASTER_QUEUE'!D72,"")</x:f>
      </x:c>
      <x:c r="E72" s="30" t="str">
        <x:f>IF('MASTER_QUEUE'!$Y72="Ready",'MASTER_QUEUE'!E72,"")</x:f>
      </x:c>
      <x:c r="F72" s="30" t="str">
        <x:f>IF('MASTER_QUEUE'!$Y72="Ready",'MASTER_QUEUE'!F72,"")</x:f>
      </x:c>
      <x:c r="G72" s="30" t="str">
        <x:f>IF('MASTER_QUEUE'!$Y72="Ready",'MASTER_QUEUE'!G72,"")</x:f>
      </x:c>
      <x:c r="H72" s="99" t="str">
        <x:f>IF('MASTER_QUEUE'!$Y72="Ready",'MASTER_QUEUE'!H72,"")</x:f>
      </x:c>
    </x:row>
    <x:row r="73" ht="22" customHeight="1">
      <x:c r="A73" s="30" t="str">
        <x:f>IF('MASTER_QUEUE'!$Y73="Ready",'MASTER_QUEUE'!A73,"")</x:f>
      </x:c>
      <x:c r="B73" s="30" t="str">
        <x:f>IF('MASTER_QUEUE'!$Y73="Ready",'MASTER_QUEUE'!B73,"")</x:f>
      </x:c>
      <x:c r="C73" s="30" t="str">
        <x:f>IF('MASTER_QUEUE'!$Y73="Ready",'MASTER_QUEUE'!C73,"")</x:f>
      </x:c>
      <x:c r="D73" s="30" t="str">
        <x:f>IF('MASTER_QUEUE'!$Y73="Ready",'MASTER_QUEUE'!D73,"")</x:f>
      </x:c>
      <x:c r="E73" s="30" t="str">
        <x:f>IF('MASTER_QUEUE'!$Y73="Ready",'MASTER_QUEUE'!E73,"")</x:f>
      </x:c>
      <x:c r="F73" s="30" t="str">
        <x:f>IF('MASTER_QUEUE'!$Y73="Ready",'MASTER_QUEUE'!F73,"")</x:f>
      </x:c>
      <x:c r="G73" s="30" t="str">
        <x:f>IF('MASTER_QUEUE'!$Y73="Ready",'MASTER_QUEUE'!G73,"")</x:f>
      </x:c>
      <x:c r="H73" s="99" t="str">
        <x:f>IF('MASTER_QUEUE'!$Y73="Ready",'MASTER_QUEUE'!H73,"")</x:f>
      </x:c>
    </x:row>
    <x:row r="74" ht="22" customHeight="1">
      <x:c r="A74" s="30" t="str">
        <x:f>IF('MASTER_QUEUE'!$Y74="Ready",'MASTER_QUEUE'!A74,"")</x:f>
      </x:c>
      <x:c r="B74" s="30" t="str">
        <x:f>IF('MASTER_QUEUE'!$Y74="Ready",'MASTER_QUEUE'!B74,"")</x:f>
      </x:c>
      <x:c r="C74" s="30" t="str">
        <x:f>IF('MASTER_QUEUE'!$Y74="Ready",'MASTER_QUEUE'!C74,"")</x:f>
      </x:c>
      <x:c r="D74" s="30" t="str">
        <x:f>IF('MASTER_QUEUE'!$Y74="Ready",'MASTER_QUEUE'!D74,"")</x:f>
      </x:c>
      <x:c r="E74" s="30" t="str">
        <x:f>IF('MASTER_QUEUE'!$Y74="Ready",'MASTER_QUEUE'!E74,"")</x:f>
      </x:c>
      <x:c r="F74" s="30" t="str">
        <x:f>IF('MASTER_QUEUE'!$Y74="Ready",'MASTER_QUEUE'!F74,"")</x:f>
      </x:c>
      <x:c r="G74" s="30" t="str">
        <x:f>IF('MASTER_QUEUE'!$Y74="Ready",'MASTER_QUEUE'!G74,"")</x:f>
      </x:c>
      <x:c r="H74" s="99" t="str">
        <x:f>IF('MASTER_QUEUE'!$Y74="Ready",'MASTER_QUEUE'!H74,"")</x:f>
      </x:c>
    </x:row>
    <x:row r="75" ht="22" customHeight="1">
      <x:c r="A75" s="30" t="str">
        <x:f>IF('MASTER_QUEUE'!$Y75="Ready",'MASTER_QUEUE'!A75,"")</x:f>
      </x:c>
      <x:c r="B75" s="30" t="str">
        <x:f>IF('MASTER_QUEUE'!$Y75="Ready",'MASTER_QUEUE'!B75,"")</x:f>
      </x:c>
      <x:c r="C75" s="30" t="str">
        <x:f>IF('MASTER_QUEUE'!$Y75="Ready",'MASTER_QUEUE'!C75,"")</x:f>
      </x:c>
      <x:c r="D75" s="30" t="str">
        <x:f>IF('MASTER_QUEUE'!$Y75="Ready",'MASTER_QUEUE'!D75,"")</x:f>
      </x:c>
      <x:c r="E75" s="30" t="str">
        <x:f>IF('MASTER_QUEUE'!$Y75="Ready",'MASTER_QUEUE'!E75,"")</x:f>
      </x:c>
      <x:c r="F75" s="30" t="str">
        <x:f>IF('MASTER_QUEUE'!$Y75="Ready",'MASTER_QUEUE'!F75,"")</x:f>
      </x:c>
      <x:c r="G75" s="30" t="str">
        <x:f>IF('MASTER_QUEUE'!$Y75="Ready",'MASTER_QUEUE'!G75,"")</x:f>
      </x:c>
      <x:c r="H75" s="99" t="str">
        <x:f>IF('MASTER_QUEUE'!$Y75="Ready",'MASTER_QUEUE'!H75,"")</x:f>
      </x:c>
    </x:row>
    <x:row r="76" ht="22" customHeight="1">
      <x:c r="A76" s="30" t="str">
        <x:f>IF('MASTER_QUEUE'!$Y76="Ready",'MASTER_QUEUE'!A76,"")</x:f>
      </x:c>
      <x:c r="B76" s="30" t="str">
        <x:f>IF('MASTER_QUEUE'!$Y76="Ready",'MASTER_QUEUE'!B76,"")</x:f>
      </x:c>
      <x:c r="C76" s="30" t="str">
        <x:f>IF('MASTER_QUEUE'!$Y76="Ready",'MASTER_QUEUE'!C76,"")</x:f>
      </x:c>
      <x:c r="D76" s="30" t="str">
        <x:f>IF('MASTER_QUEUE'!$Y76="Ready",'MASTER_QUEUE'!D76,"")</x:f>
      </x:c>
      <x:c r="E76" s="30" t="str">
        <x:f>IF('MASTER_QUEUE'!$Y76="Ready",'MASTER_QUEUE'!E76,"")</x:f>
      </x:c>
      <x:c r="F76" s="30" t="str">
        <x:f>IF('MASTER_QUEUE'!$Y76="Ready",'MASTER_QUEUE'!F76,"")</x:f>
      </x:c>
      <x:c r="G76" s="30" t="str">
        <x:f>IF('MASTER_QUEUE'!$Y76="Ready",'MASTER_QUEUE'!G76,"")</x:f>
      </x:c>
      <x:c r="H76" s="99" t="str">
        <x:f>IF('MASTER_QUEUE'!$Y76="Ready",'MASTER_QUEUE'!H76,"")</x:f>
      </x:c>
    </x:row>
    <x:row r="77" ht="22" customHeight="1">
      <x:c r="A77" s="30" t="str">
        <x:f>IF('MASTER_QUEUE'!$Y77="Ready",'MASTER_QUEUE'!A77,"")</x:f>
      </x:c>
      <x:c r="B77" s="30" t="str">
        <x:f>IF('MASTER_QUEUE'!$Y77="Ready",'MASTER_QUEUE'!B77,"")</x:f>
      </x:c>
      <x:c r="C77" s="30" t="str">
        <x:f>IF('MASTER_QUEUE'!$Y77="Ready",'MASTER_QUEUE'!C77,"")</x:f>
      </x:c>
      <x:c r="D77" s="30" t="str">
        <x:f>IF('MASTER_QUEUE'!$Y77="Ready",'MASTER_QUEUE'!D77,"")</x:f>
      </x:c>
      <x:c r="E77" s="30" t="str">
        <x:f>IF('MASTER_QUEUE'!$Y77="Ready",'MASTER_QUEUE'!E77,"")</x:f>
      </x:c>
      <x:c r="F77" s="30" t="str">
        <x:f>IF('MASTER_QUEUE'!$Y77="Ready",'MASTER_QUEUE'!F77,"")</x:f>
      </x:c>
      <x:c r="G77" s="30" t="str">
        <x:f>IF('MASTER_QUEUE'!$Y77="Ready",'MASTER_QUEUE'!G77,"")</x:f>
      </x:c>
      <x:c r="H77" s="99" t="str">
        <x:f>IF('MASTER_QUEUE'!$Y77="Ready",'MASTER_QUEUE'!H77,"")</x:f>
      </x:c>
    </x:row>
    <x:row r="78" ht="22" customHeight="1">
      <x:c r="A78" s="30" t="str">
        <x:f>IF('MASTER_QUEUE'!$Y78="Ready",'MASTER_QUEUE'!A78,"")</x:f>
      </x:c>
      <x:c r="B78" s="30" t="str">
        <x:f>IF('MASTER_QUEUE'!$Y78="Ready",'MASTER_QUEUE'!B78,"")</x:f>
      </x:c>
      <x:c r="C78" s="30" t="str">
        <x:f>IF('MASTER_QUEUE'!$Y78="Ready",'MASTER_QUEUE'!C78,"")</x:f>
      </x:c>
      <x:c r="D78" s="30" t="str">
        <x:f>IF('MASTER_QUEUE'!$Y78="Ready",'MASTER_QUEUE'!D78,"")</x:f>
      </x:c>
      <x:c r="E78" s="30" t="str">
        <x:f>IF('MASTER_QUEUE'!$Y78="Ready",'MASTER_QUEUE'!E78,"")</x:f>
      </x:c>
      <x:c r="F78" s="30" t="str">
        <x:f>IF('MASTER_QUEUE'!$Y78="Ready",'MASTER_QUEUE'!F78,"")</x:f>
      </x:c>
      <x:c r="G78" s="30" t="str">
        <x:f>IF('MASTER_QUEUE'!$Y78="Ready",'MASTER_QUEUE'!G78,"")</x:f>
      </x:c>
      <x:c r="H78" s="99" t="str">
        <x:f>IF('MASTER_QUEUE'!$Y78="Ready",'MASTER_QUEUE'!H78,"")</x:f>
      </x:c>
    </x:row>
    <x:row r="79" ht="22" customHeight="1">
      <x:c r="A79" s="30" t="str">
        <x:f>IF('MASTER_QUEUE'!$Y79="Ready",'MASTER_QUEUE'!A79,"")</x:f>
      </x:c>
      <x:c r="B79" s="30" t="str">
        <x:f>IF('MASTER_QUEUE'!$Y79="Ready",'MASTER_QUEUE'!B79,"")</x:f>
      </x:c>
      <x:c r="C79" s="30" t="str">
        <x:f>IF('MASTER_QUEUE'!$Y79="Ready",'MASTER_QUEUE'!C79,"")</x:f>
      </x:c>
      <x:c r="D79" s="30" t="str">
        <x:f>IF('MASTER_QUEUE'!$Y79="Ready",'MASTER_QUEUE'!D79,"")</x:f>
      </x:c>
      <x:c r="E79" s="30" t="str">
        <x:f>IF('MASTER_QUEUE'!$Y79="Ready",'MASTER_QUEUE'!E79,"")</x:f>
      </x:c>
      <x:c r="F79" s="30" t="str">
        <x:f>IF('MASTER_QUEUE'!$Y79="Ready",'MASTER_QUEUE'!F79,"")</x:f>
      </x:c>
      <x:c r="G79" s="30" t="str">
        <x:f>IF('MASTER_QUEUE'!$Y79="Ready",'MASTER_QUEUE'!G79,"")</x:f>
      </x:c>
      <x:c r="H79" s="99" t="str">
        <x:f>IF('MASTER_QUEUE'!$Y79="Ready",'MASTER_QUEUE'!H79,"")</x:f>
      </x:c>
    </x:row>
    <x:row r="80" ht="22" customHeight="1">
      <x:c r="A80" s="30" t="str">
        <x:f>IF('MASTER_QUEUE'!$Y80="Ready",'MASTER_QUEUE'!A80,"")</x:f>
      </x:c>
      <x:c r="B80" s="30" t="str">
        <x:f>IF('MASTER_QUEUE'!$Y80="Ready",'MASTER_QUEUE'!B80,"")</x:f>
      </x:c>
      <x:c r="C80" s="30" t="str">
        <x:f>IF('MASTER_QUEUE'!$Y80="Ready",'MASTER_QUEUE'!C80,"")</x:f>
      </x:c>
      <x:c r="D80" s="30" t="str">
        <x:f>IF('MASTER_QUEUE'!$Y80="Ready",'MASTER_QUEUE'!D80,"")</x:f>
      </x:c>
      <x:c r="E80" s="30" t="str">
        <x:f>IF('MASTER_QUEUE'!$Y80="Ready",'MASTER_QUEUE'!E80,"")</x:f>
      </x:c>
      <x:c r="F80" s="30" t="str">
        <x:f>IF('MASTER_QUEUE'!$Y80="Ready",'MASTER_QUEUE'!F80,"")</x:f>
      </x:c>
      <x:c r="G80" s="30" t="str">
        <x:f>IF('MASTER_QUEUE'!$Y80="Ready",'MASTER_QUEUE'!G80,"")</x:f>
      </x:c>
      <x:c r="H80" s="99" t="str">
        <x:f>IF('MASTER_QUEUE'!$Y80="Ready",'MASTER_QUEUE'!H80,"")</x:f>
      </x:c>
    </x:row>
    <x:row r="81" ht="22" customHeight="1">
      <x:c r="A81" s="30" t="str">
        <x:f>IF('MASTER_QUEUE'!$Y81="Ready",'MASTER_QUEUE'!A81,"")</x:f>
      </x:c>
      <x:c r="B81" s="30" t="str">
        <x:f>IF('MASTER_QUEUE'!$Y81="Ready",'MASTER_QUEUE'!B81,"")</x:f>
      </x:c>
      <x:c r="C81" s="30" t="str">
        <x:f>IF('MASTER_QUEUE'!$Y81="Ready",'MASTER_QUEUE'!C81,"")</x:f>
      </x:c>
      <x:c r="D81" s="30" t="str">
        <x:f>IF('MASTER_QUEUE'!$Y81="Ready",'MASTER_QUEUE'!D81,"")</x:f>
      </x:c>
      <x:c r="E81" s="30" t="str">
        <x:f>IF('MASTER_QUEUE'!$Y81="Ready",'MASTER_QUEUE'!E81,"")</x:f>
      </x:c>
      <x:c r="F81" s="30" t="str">
        <x:f>IF('MASTER_QUEUE'!$Y81="Ready",'MASTER_QUEUE'!F81,"")</x:f>
      </x:c>
      <x:c r="G81" s="30" t="str">
        <x:f>IF('MASTER_QUEUE'!$Y81="Ready",'MASTER_QUEUE'!G81,"")</x:f>
      </x:c>
      <x:c r="H81" s="99" t="str">
        <x:f>IF('MASTER_QUEUE'!$Y81="Ready",'MASTER_QUEUE'!H81,"")</x:f>
      </x:c>
    </x:row>
    <x:row r="82" ht="22" customHeight="1">
      <x:c r="A82" s="30" t="str">
        <x:f>IF('MASTER_QUEUE'!$Y82="Ready",'MASTER_QUEUE'!A82,"")</x:f>
      </x:c>
      <x:c r="B82" s="30" t="str">
        <x:f>IF('MASTER_QUEUE'!$Y82="Ready",'MASTER_QUEUE'!B82,"")</x:f>
      </x:c>
      <x:c r="C82" s="30" t="str">
        <x:f>IF('MASTER_QUEUE'!$Y82="Ready",'MASTER_QUEUE'!C82,"")</x:f>
      </x:c>
      <x:c r="D82" s="30" t="str">
        <x:f>IF('MASTER_QUEUE'!$Y82="Ready",'MASTER_QUEUE'!D82,"")</x:f>
      </x:c>
      <x:c r="E82" s="30" t="str">
        <x:f>IF('MASTER_QUEUE'!$Y82="Ready",'MASTER_QUEUE'!E82,"")</x:f>
      </x:c>
      <x:c r="F82" s="30" t="str">
        <x:f>IF('MASTER_QUEUE'!$Y82="Ready",'MASTER_QUEUE'!F82,"")</x:f>
      </x:c>
      <x:c r="G82" s="30" t="str">
        <x:f>IF('MASTER_QUEUE'!$Y82="Ready",'MASTER_QUEUE'!G82,"")</x:f>
      </x:c>
      <x:c r="H82" s="99" t="str">
        <x:f>IF('MASTER_QUEUE'!$Y82="Ready",'MASTER_QUEUE'!H82,"")</x:f>
      </x:c>
    </x:row>
    <x:row r="83" ht="22" customHeight="1">
      <x:c r="A83" s="30" t="str">
        <x:f>IF('MASTER_QUEUE'!$Y83="Ready",'MASTER_QUEUE'!A83,"")</x:f>
      </x:c>
      <x:c r="B83" s="30" t="str">
        <x:f>IF('MASTER_QUEUE'!$Y83="Ready",'MASTER_QUEUE'!B83,"")</x:f>
      </x:c>
      <x:c r="C83" s="30" t="str">
        <x:f>IF('MASTER_QUEUE'!$Y83="Ready",'MASTER_QUEUE'!C83,"")</x:f>
      </x:c>
      <x:c r="D83" s="30" t="str">
        <x:f>IF('MASTER_QUEUE'!$Y83="Ready",'MASTER_QUEUE'!D83,"")</x:f>
      </x:c>
      <x:c r="E83" s="30" t="str">
        <x:f>IF('MASTER_QUEUE'!$Y83="Ready",'MASTER_QUEUE'!E83,"")</x:f>
      </x:c>
      <x:c r="F83" s="30" t="str">
        <x:f>IF('MASTER_QUEUE'!$Y83="Ready",'MASTER_QUEUE'!F83,"")</x:f>
      </x:c>
      <x:c r="G83" s="30" t="str">
        <x:f>IF('MASTER_QUEUE'!$Y83="Ready",'MASTER_QUEUE'!G83,"")</x:f>
      </x:c>
      <x:c r="H83" s="99" t="str">
        <x:f>IF('MASTER_QUEUE'!$Y83="Ready",'MASTER_QUEUE'!H83,"")</x:f>
      </x:c>
    </x:row>
    <x:row r="84" ht="22" customHeight="1">
      <x:c r="A84" s="30" t="str">
        <x:f>IF('MASTER_QUEUE'!$Y84="Ready",'MASTER_QUEUE'!A84,"")</x:f>
      </x:c>
      <x:c r="B84" s="30" t="str">
        <x:f>IF('MASTER_QUEUE'!$Y84="Ready",'MASTER_QUEUE'!B84,"")</x:f>
      </x:c>
      <x:c r="C84" s="30" t="str">
        <x:f>IF('MASTER_QUEUE'!$Y84="Ready",'MASTER_QUEUE'!C84,"")</x:f>
      </x:c>
      <x:c r="D84" s="30" t="str">
        <x:f>IF('MASTER_QUEUE'!$Y84="Ready",'MASTER_QUEUE'!D84,"")</x:f>
      </x:c>
      <x:c r="E84" s="30" t="str">
        <x:f>IF('MASTER_QUEUE'!$Y84="Ready",'MASTER_QUEUE'!E84,"")</x:f>
      </x:c>
      <x:c r="F84" s="30" t="str">
        <x:f>IF('MASTER_QUEUE'!$Y84="Ready",'MASTER_QUEUE'!F84,"")</x:f>
      </x:c>
      <x:c r="G84" s="30" t="str">
        <x:f>IF('MASTER_QUEUE'!$Y84="Ready",'MASTER_QUEUE'!G84,"")</x:f>
      </x:c>
      <x:c r="H84" s="99" t="str">
        <x:f>IF('MASTER_QUEUE'!$Y84="Ready",'MASTER_QUEUE'!H84,"")</x:f>
      </x:c>
    </x:row>
    <x:row r="85" ht="22" customHeight="1">
      <x:c r="A85" s="30" t="str">
        <x:f>IF('MASTER_QUEUE'!$Y85="Ready",'MASTER_QUEUE'!A85,"")</x:f>
      </x:c>
      <x:c r="B85" s="30" t="str">
        <x:f>IF('MASTER_QUEUE'!$Y85="Ready",'MASTER_QUEUE'!B85,"")</x:f>
      </x:c>
      <x:c r="C85" s="30" t="str">
        <x:f>IF('MASTER_QUEUE'!$Y85="Ready",'MASTER_QUEUE'!C85,"")</x:f>
      </x:c>
      <x:c r="D85" s="30" t="str">
        <x:f>IF('MASTER_QUEUE'!$Y85="Ready",'MASTER_QUEUE'!D85,"")</x:f>
      </x:c>
      <x:c r="E85" s="30" t="str">
        <x:f>IF('MASTER_QUEUE'!$Y85="Ready",'MASTER_QUEUE'!E85,"")</x:f>
      </x:c>
      <x:c r="F85" s="30" t="str">
        <x:f>IF('MASTER_QUEUE'!$Y85="Ready",'MASTER_QUEUE'!F85,"")</x:f>
      </x:c>
      <x:c r="G85" s="30" t="str">
        <x:f>IF('MASTER_QUEUE'!$Y85="Ready",'MASTER_QUEUE'!G85,"")</x:f>
      </x:c>
      <x:c r="H85" s="99" t="str">
        <x:f>IF('MASTER_QUEUE'!$Y85="Ready",'MASTER_QUEUE'!H85,"")</x:f>
      </x:c>
    </x:row>
    <x:row r="86" ht="22" customHeight="1">
      <x:c r="A86" s="30" t="str">
        <x:f>IF('MASTER_QUEUE'!$Y86="Ready",'MASTER_QUEUE'!A86,"")</x:f>
      </x:c>
      <x:c r="B86" s="30" t="str">
        <x:f>IF('MASTER_QUEUE'!$Y86="Ready",'MASTER_QUEUE'!B86,"")</x:f>
      </x:c>
      <x:c r="C86" s="30" t="str">
        <x:f>IF('MASTER_QUEUE'!$Y86="Ready",'MASTER_QUEUE'!C86,"")</x:f>
      </x:c>
      <x:c r="D86" s="30" t="str">
        <x:f>IF('MASTER_QUEUE'!$Y86="Ready",'MASTER_QUEUE'!D86,"")</x:f>
      </x:c>
      <x:c r="E86" s="30" t="str">
        <x:f>IF('MASTER_QUEUE'!$Y86="Ready",'MASTER_QUEUE'!E86,"")</x:f>
      </x:c>
      <x:c r="F86" s="30" t="str">
        <x:f>IF('MASTER_QUEUE'!$Y86="Ready",'MASTER_QUEUE'!F86,"")</x:f>
      </x:c>
      <x:c r="G86" s="30" t="str">
        <x:f>IF('MASTER_QUEUE'!$Y86="Ready",'MASTER_QUEUE'!G86,"")</x:f>
      </x:c>
      <x:c r="H86" s="99" t="str">
        <x:f>IF('MASTER_QUEUE'!$Y86="Ready",'MASTER_QUEUE'!H86,"")</x:f>
      </x:c>
    </x:row>
    <x:row r="87" ht="22" customHeight="1">
      <x:c r="A87" s="30" t="str">
        <x:f>IF('MASTER_QUEUE'!$Y87="Ready",'MASTER_QUEUE'!A87,"")</x:f>
      </x:c>
      <x:c r="B87" s="30" t="str">
        <x:f>IF('MASTER_QUEUE'!$Y87="Ready",'MASTER_QUEUE'!B87,"")</x:f>
      </x:c>
      <x:c r="C87" s="30" t="str">
        <x:f>IF('MASTER_QUEUE'!$Y87="Ready",'MASTER_QUEUE'!C87,"")</x:f>
      </x:c>
      <x:c r="D87" s="30" t="str">
        <x:f>IF('MASTER_QUEUE'!$Y87="Ready",'MASTER_QUEUE'!D87,"")</x:f>
      </x:c>
      <x:c r="E87" s="30" t="str">
        <x:f>IF('MASTER_QUEUE'!$Y87="Ready",'MASTER_QUEUE'!E87,"")</x:f>
      </x:c>
      <x:c r="F87" s="30" t="str">
        <x:f>IF('MASTER_QUEUE'!$Y87="Ready",'MASTER_QUEUE'!F87,"")</x:f>
      </x:c>
      <x:c r="G87" s="30" t="str">
        <x:f>IF('MASTER_QUEUE'!$Y87="Ready",'MASTER_QUEUE'!G87,"")</x:f>
      </x:c>
      <x:c r="H87" s="99" t="str">
        <x:f>IF('MASTER_QUEUE'!$Y87="Ready",'MASTER_QUEUE'!H87,"")</x:f>
      </x:c>
    </x:row>
    <x:row r="88" ht="22" customHeight="1">
      <x:c r="A88" s="30" t="str">
        <x:f>IF('MASTER_QUEUE'!$Y88="Ready",'MASTER_QUEUE'!A88,"")</x:f>
      </x:c>
      <x:c r="B88" s="30" t="str">
        <x:f>IF('MASTER_QUEUE'!$Y88="Ready",'MASTER_QUEUE'!B88,"")</x:f>
      </x:c>
      <x:c r="C88" s="30" t="str">
        <x:f>IF('MASTER_QUEUE'!$Y88="Ready",'MASTER_QUEUE'!C88,"")</x:f>
      </x:c>
      <x:c r="D88" s="30" t="str">
        <x:f>IF('MASTER_QUEUE'!$Y88="Ready",'MASTER_QUEUE'!D88,"")</x:f>
      </x:c>
      <x:c r="E88" s="30" t="str">
        <x:f>IF('MASTER_QUEUE'!$Y88="Ready",'MASTER_QUEUE'!E88,"")</x:f>
      </x:c>
      <x:c r="F88" s="30" t="str">
        <x:f>IF('MASTER_QUEUE'!$Y88="Ready",'MASTER_QUEUE'!F88,"")</x:f>
      </x:c>
      <x:c r="G88" s="30" t="str">
        <x:f>IF('MASTER_QUEUE'!$Y88="Ready",'MASTER_QUEUE'!G88,"")</x:f>
      </x:c>
      <x:c r="H88" s="99" t="str">
        <x:f>IF('MASTER_QUEUE'!$Y88="Ready",'MASTER_QUEUE'!H88,"")</x:f>
      </x:c>
    </x:row>
    <x:row r="89" ht="22" customHeight="1">
      <x:c r="A89" s="30" t="str">
        <x:f>IF('MASTER_QUEUE'!$Y89="Ready",'MASTER_QUEUE'!A89,"")</x:f>
      </x:c>
      <x:c r="B89" s="30" t="str">
        <x:f>IF('MASTER_QUEUE'!$Y89="Ready",'MASTER_QUEUE'!B89,"")</x:f>
      </x:c>
      <x:c r="C89" s="30" t="str">
        <x:f>IF('MASTER_QUEUE'!$Y89="Ready",'MASTER_QUEUE'!C89,"")</x:f>
      </x:c>
      <x:c r="D89" s="30" t="str">
        <x:f>IF('MASTER_QUEUE'!$Y89="Ready",'MASTER_QUEUE'!D89,"")</x:f>
      </x:c>
      <x:c r="E89" s="30" t="str">
        <x:f>IF('MASTER_QUEUE'!$Y89="Ready",'MASTER_QUEUE'!E89,"")</x:f>
      </x:c>
      <x:c r="F89" s="30" t="str">
        <x:f>IF('MASTER_QUEUE'!$Y89="Ready",'MASTER_QUEUE'!F89,"")</x:f>
      </x:c>
      <x:c r="G89" s="30" t="str">
        <x:f>IF('MASTER_QUEUE'!$Y89="Ready",'MASTER_QUEUE'!G89,"")</x:f>
      </x:c>
      <x:c r="H89" s="99" t="str">
        <x:f>IF('MASTER_QUEUE'!$Y89="Ready",'MASTER_QUEUE'!H89,"")</x:f>
      </x:c>
    </x:row>
    <x:row r="90" ht="22" customHeight="1">
      <x:c r="A90" s="30" t="str">
        <x:f>IF('MASTER_QUEUE'!$Y90="Ready",'MASTER_QUEUE'!A90,"")</x:f>
      </x:c>
      <x:c r="B90" s="30" t="str">
        <x:f>IF('MASTER_QUEUE'!$Y90="Ready",'MASTER_QUEUE'!B90,"")</x:f>
      </x:c>
      <x:c r="C90" s="30" t="str">
        <x:f>IF('MASTER_QUEUE'!$Y90="Ready",'MASTER_QUEUE'!C90,"")</x:f>
      </x:c>
      <x:c r="D90" s="30" t="str">
        <x:f>IF('MASTER_QUEUE'!$Y90="Ready",'MASTER_QUEUE'!D90,"")</x:f>
      </x:c>
      <x:c r="E90" s="30" t="str">
        <x:f>IF('MASTER_QUEUE'!$Y90="Ready",'MASTER_QUEUE'!E90,"")</x:f>
      </x:c>
      <x:c r="F90" s="30" t="str">
        <x:f>IF('MASTER_QUEUE'!$Y90="Ready",'MASTER_QUEUE'!F90,"")</x:f>
      </x:c>
      <x:c r="G90" s="30" t="str">
        <x:f>IF('MASTER_QUEUE'!$Y90="Ready",'MASTER_QUEUE'!G90,"")</x:f>
      </x:c>
      <x:c r="H90" s="99" t="str">
        <x:f>IF('MASTER_QUEUE'!$Y90="Ready",'MASTER_QUEUE'!H90,"")</x:f>
      </x:c>
    </x:row>
    <x:row r="91" ht="22" customHeight="1">
      <x:c r="A91" s="30" t="str">
        <x:f>IF('MASTER_QUEUE'!$Y91="Ready",'MASTER_QUEUE'!A91,"")</x:f>
      </x:c>
      <x:c r="B91" s="30" t="str">
        <x:f>IF('MASTER_QUEUE'!$Y91="Ready",'MASTER_QUEUE'!B91,"")</x:f>
      </x:c>
      <x:c r="C91" s="30" t="str">
        <x:f>IF('MASTER_QUEUE'!$Y91="Ready",'MASTER_QUEUE'!C91,"")</x:f>
      </x:c>
      <x:c r="D91" s="30" t="str">
        <x:f>IF('MASTER_QUEUE'!$Y91="Ready",'MASTER_QUEUE'!D91,"")</x:f>
      </x:c>
      <x:c r="E91" s="30" t="str">
        <x:f>IF('MASTER_QUEUE'!$Y91="Ready",'MASTER_QUEUE'!E91,"")</x:f>
      </x:c>
      <x:c r="F91" s="30" t="str">
        <x:f>IF('MASTER_QUEUE'!$Y91="Ready",'MASTER_QUEUE'!F91,"")</x:f>
      </x:c>
      <x:c r="G91" s="30" t="str">
        <x:f>IF('MASTER_QUEUE'!$Y91="Ready",'MASTER_QUEUE'!G91,"")</x:f>
      </x:c>
      <x:c r="H91" s="99" t="str">
        <x:f>IF('MASTER_QUEUE'!$Y91="Ready",'MASTER_QUEUE'!H91,"")</x:f>
      </x:c>
    </x:row>
    <x:row r="92" ht="22" customHeight="1">
      <x:c r="A92" s="30" t="str">
        <x:f>IF('MASTER_QUEUE'!$Y92="Ready",'MASTER_QUEUE'!A92,"")</x:f>
      </x:c>
      <x:c r="B92" s="30" t="str">
        <x:f>IF('MASTER_QUEUE'!$Y92="Ready",'MASTER_QUEUE'!B92,"")</x:f>
      </x:c>
      <x:c r="C92" s="30" t="str">
        <x:f>IF('MASTER_QUEUE'!$Y92="Ready",'MASTER_QUEUE'!C92,"")</x:f>
      </x:c>
      <x:c r="D92" s="30" t="str">
        <x:f>IF('MASTER_QUEUE'!$Y92="Ready",'MASTER_QUEUE'!D92,"")</x:f>
      </x:c>
      <x:c r="E92" s="30" t="str">
        <x:f>IF('MASTER_QUEUE'!$Y92="Ready",'MASTER_QUEUE'!E92,"")</x:f>
      </x:c>
      <x:c r="F92" s="30" t="str">
        <x:f>IF('MASTER_QUEUE'!$Y92="Ready",'MASTER_QUEUE'!F92,"")</x:f>
      </x:c>
      <x:c r="G92" s="30" t="str">
        <x:f>IF('MASTER_QUEUE'!$Y92="Ready",'MASTER_QUEUE'!G92,"")</x:f>
      </x:c>
      <x:c r="H92" s="99" t="str">
        <x:f>IF('MASTER_QUEUE'!$Y92="Ready",'MASTER_QUEUE'!H92,"")</x:f>
      </x:c>
    </x:row>
    <x:row r="93" ht="22" customHeight="1">
      <x:c r="A93" s="30" t="str">
        <x:f>IF('MASTER_QUEUE'!$Y93="Ready",'MASTER_QUEUE'!A93,"")</x:f>
      </x:c>
      <x:c r="B93" s="30" t="str">
        <x:f>IF('MASTER_QUEUE'!$Y93="Ready",'MASTER_QUEUE'!B93,"")</x:f>
      </x:c>
      <x:c r="C93" s="30" t="str">
        <x:f>IF('MASTER_QUEUE'!$Y93="Ready",'MASTER_QUEUE'!C93,"")</x:f>
      </x:c>
      <x:c r="D93" s="30" t="str">
        <x:f>IF('MASTER_QUEUE'!$Y93="Ready",'MASTER_QUEUE'!D93,"")</x:f>
      </x:c>
      <x:c r="E93" s="30" t="str">
        <x:f>IF('MASTER_QUEUE'!$Y93="Ready",'MASTER_QUEUE'!E93,"")</x:f>
      </x:c>
      <x:c r="F93" s="30" t="str">
        <x:f>IF('MASTER_QUEUE'!$Y93="Ready",'MASTER_QUEUE'!F93,"")</x:f>
      </x:c>
      <x:c r="G93" s="30" t="str">
        <x:f>IF('MASTER_QUEUE'!$Y93="Ready",'MASTER_QUEUE'!G93,"")</x:f>
      </x:c>
      <x:c r="H93" s="99" t="str">
        <x:f>IF('MASTER_QUEUE'!$Y93="Ready",'MASTER_QUEUE'!H93,"")</x:f>
      </x:c>
    </x:row>
    <x:row r="94" ht="22" customHeight="1">
      <x:c r="A94" s="30" t="str">
        <x:f>IF('MASTER_QUEUE'!$Y94="Ready",'MASTER_QUEUE'!A94,"")</x:f>
      </x:c>
      <x:c r="B94" s="30" t="str">
        <x:f>IF('MASTER_QUEUE'!$Y94="Ready",'MASTER_QUEUE'!B94,"")</x:f>
      </x:c>
      <x:c r="C94" s="30" t="str">
        <x:f>IF('MASTER_QUEUE'!$Y94="Ready",'MASTER_QUEUE'!C94,"")</x:f>
      </x:c>
      <x:c r="D94" s="30" t="str">
        <x:f>IF('MASTER_QUEUE'!$Y94="Ready",'MASTER_QUEUE'!D94,"")</x:f>
      </x:c>
      <x:c r="E94" s="30" t="str">
        <x:f>IF('MASTER_QUEUE'!$Y94="Ready",'MASTER_QUEUE'!E94,"")</x:f>
      </x:c>
      <x:c r="F94" s="30" t="str">
        <x:f>IF('MASTER_QUEUE'!$Y94="Ready",'MASTER_QUEUE'!F94,"")</x:f>
      </x:c>
      <x:c r="G94" s="30" t="str">
        <x:f>IF('MASTER_QUEUE'!$Y94="Ready",'MASTER_QUEUE'!G94,"")</x:f>
      </x:c>
      <x:c r="H94" s="99" t="str">
        <x:f>IF('MASTER_QUEUE'!$Y94="Ready",'MASTER_QUEUE'!H94,"")</x:f>
      </x:c>
    </x:row>
    <x:row r="95" ht="22" customHeight="1">
      <x:c r="A95" s="30" t="str">
        <x:f>IF('MASTER_QUEUE'!$Y95="Ready",'MASTER_QUEUE'!A95,"")</x:f>
      </x:c>
      <x:c r="B95" s="30" t="str">
        <x:f>IF('MASTER_QUEUE'!$Y95="Ready",'MASTER_QUEUE'!B95,"")</x:f>
      </x:c>
      <x:c r="C95" s="30" t="str">
        <x:f>IF('MASTER_QUEUE'!$Y95="Ready",'MASTER_QUEUE'!C95,"")</x:f>
      </x:c>
      <x:c r="D95" s="30" t="str">
        <x:f>IF('MASTER_QUEUE'!$Y95="Ready",'MASTER_QUEUE'!D95,"")</x:f>
      </x:c>
      <x:c r="E95" s="30" t="str">
        <x:f>IF('MASTER_QUEUE'!$Y95="Ready",'MASTER_QUEUE'!E95,"")</x:f>
      </x:c>
      <x:c r="F95" s="30" t="str">
        <x:f>IF('MASTER_QUEUE'!$Y95="Ready",'MASTER_QUEUE'!F95,"")</x:f>
      </x:c>
      <x:c r="G95" s="30" t="str">
        <x:f>IF('MASTER_QUEUE'!$Y95="Ready",'MASTER_QUEUE'!G95,"")</x:f>
      </x:c>
      <x:c r="H95" s="99" t="str">
        <x:f>IF('MASTER_QUEUE'!$Y95="Ready",'MASTER_QUEUE'!H95,"")</x:f>
      </x:c>
    </x:row>
    <x:row r="96" ht="22" customHeight="1">
      <x:c r="A96" s="30" t="str">
        <x:f>IF('MASTER_QUEUE'!$Y96="Ready",'MASTER_QUEUE'!A96,"")</x:f>
      </x:c>
      <x:c r="B96" s="30" t="str">
        <x:f>IF('MASTER_QUEUE'!$Y96="Ready",'MASTER_QUEUE'!B96,"")</x:f>
      </x:c>
      <x:c r="C96" s="30" t="str">
        <x:f>IF('MASTER_QUEUE'!$Y96="Ready",'MASTER_QUEUE'!C96,"")</x:f>
      </x:c>
      <x:c r="D96" s="30" t="str">
        <x:f>IF('MASTER_QUEUE'!$Y96="Ready",'MASTER_QUEUE'!D96,"")</x:f>
      </x:c>
      <x:c r="E96" s="30" t="str">
        <x:f>IF('MASTER_QUEUE'!$Y96="Ready",'MASTER_QUEUE'!E96,"")</x:f>
      </x:c>
      <x:c r="F96" s="30" t="str">
        <x:f>IF('MASTER_QUEUE'!$Y96="Ready",'MASTER_QUEUE'!F96,"")</x:f>
      </x:c>
      <x:c r="G96" s="30" t="str">
        <x:f>IF('MASTER_QUEUE'!$Y96="Ready",'MASTER_QUEUE'!G96,"")</x:f>
      </x:c>
      <x:c r="H96" s="99" t="str">
        <x:f>IF('MASTER_QUEUE'!$Y96="Ready",'MASTER_QUEUE'!H96,"")</x:f>
      </x:c>
    </x:row>
    <x:row r="97" ht="22" customHeight="1">
      <x:c r="A97" s="30" t="str">
        <x:f>IF('MASTER_QUEUE'!$Y97="Ready",'MASTER_QUEUE'!A97,"")</x:f>
      </x:c>
      <x:c r="B97" s="30" t="str">
        <x:f>IF('MASTER_QUEUE'!$Y97="Ready",'MASTER_QUEUE'!B97,"")</x:f>
      </x:c>
      <x:c r="C97" s="30" t="str">
        <x:f>IF('MASTER_QUEUE'!$Y97="Ready",'MASTER_QUEUE'!C97,"")</x:f>
      </x:c>
      <x:c r="D97" s="30" t="str">
        <x:f>IF('MASTER_QUEUE'!$Y97="Ready",'MASTER_QUEUE'!D97,"")</x:f>
      </x:c>
      <x:c r="E97" s="30" t="str">
        <x:f>IF('MASTER_QUEUE'!$Y97="Ready",'MASTER_QUEUE'!E97,"")</x:f>
      </x:c>
      <x:c r="F97" s="30" t="str">
        <x:f>IF('MASTER_QUEUE'!$Y97="Ready",'MASTER_QUEUE'!F97,"")</x:f>
      </x:c>
      <x:c r="G97" s="30" t="str">
        <x:f>IF('MASTER_QUEUE'!$Y97="Ready",'MASTER_QUEUE'!G97,"")</x:f>
      </x:c>
      <x:c r="H97" s="99" t="str">
        <x:f>IF('MASTER_QUEUE'!$Y97="Ready",'MASTER_QUEUE'!H97,"")</x:f>
      </x:c>
    </x:row>
    <x:row r="98" ht="22" customHeight="1">
      <x:c r="A98" s="30" t="str">
        <x:f>IF('MASTER_QUEUE'!$Y98="Ready",'MASTER_QUEUE'!A98,"")</x:f>
      </x:c>
      <x:c r="B98" s="30" t="str">
        <x:f>IF('MASTER_QUEUE'!$Y98="Ready",'MASTER_QUEUE'!B98,"")</x:f>
      </x:c>
      <x:c r="C98" s="30" t="str">
        <x:f>IF('MASTER_QUEUE'!$Y98="Ready",'MASTER_QUEUE'!C98,"")</x:f>
      </x:c>
      <x:c r="D98" s="30" t="str">
        <x:f>IF('MASTER_QUEUE'!$Y98="Ready",'MASTER_QUEUE'!D98,"")</x:f>
      </x:c>
      <x:c r="E98" s="30" t="str">
        <x:f>IF('MASTER_QUEUE'!$Y98="Ready",'MASTER_QUEUE'!E98,"")</x:f>
      </x:c>
      <x:c r="F98" s="30" t="str">
        <x:f>IF('MASTER_QUEUE'!$Y98="Ready",'MASTER_QUEUE'!F98,"")</x:f>
      </x:c>
      <x:c r="G98" s="30" t="str">
        <x:f>IF('MASTER_QUEUE'!$Y98="Ready",'MASTER_QUEUE'!G98,"")</x:f>
      </x:c>
      <x:c r="H98" s="99" t="str">
        <x:f>IF('MASTER_QUEUE'!$Y98="Ready",'MASTER_QUEUE'!H98,"")</x:f>
      </x:c>
    </x:row>
    <x:row r="99" ht="22" customHeight="1">
      <x:c r="A99" s="30" t="str">
        <x:f>IF('MASTER_QUEUE'!$Y99="Ready",'MASTER_QUEUE'!A99,"")</x:f>
      </x:c>
      <x:c r="B99" s="30" t="str">
        <x:f>IF('MASTER_QUEUE'!$Y99="Ready",'MASTER_QUEUE'!B99,"")</x:f>
      </x:c>
      <x:c r="C99" s="30" t="str">
        <x:f>IF('MASTER_QUEUE'!$Y99="Ready",'MASTER_QUEUE'!C99,"")</x:f>
      </x:c>
      <x:c r="D99" s="30" t="str">
        <x:f>IF('MASTER_QUEUE'!$Y99="Ready",'MASTER_QUEUE'!D99,"")</x:f>
      </x:c>
      <x:c r="E99" s="30" t="str">
        <x:f>IF('MASTER_QUEUE'!$Y99="Ready",'MASTER_QUEUE'!E99,"")</x:f>
      </x:c>
      <x:c r="F99" s="30" t="str">
        <x:f>IF('MASTER_QUEUE'!$Y99="Ready",'MASTER_QUEUE'!F99,"")</x:f>
      </x:c>
      <x:c r="G99" s="30" t="str">
        <x:f>IF('MASTER_QUEUE'!$Y99="Ready",'MASTER_QUEUE'!G99,"")</x:f>
      </x:c>
      <x:c r="H99" s="99" t="str">
        <x:f>IF('MASTER_QUEUE'!$Y99="Ready",'MASTER_QUEUE'!H99,"")</x:f>
      </x:c>
    </x:row>
    <x:row r="100" ht="22" customHeight="1">
      <x:c r="A100" s="30" t="str">
        <x:f>IF('MASTER_QUEUE'!$Y100="Ready",'MASTER_QUEUE'!A100,"")</x:f>
      </x:c>
      <x:c r="B100" s="30" t="str">
        <x:f>IF('MASTER_QUEUE'!$Y100="Ready",'MASTER_QUEUE'!B100,"")</x:f>
      </x:c>
      <x:c r="C100" s="30" t="str">
        <x:f>IF('MASTER_QUEUE'!$Y100="Ready",'MASTER_QUEUE'!C100,"")</x:f>
      </x:c>
      <x:c r="D100" s="30" t="str">
        <x:f>IF('MASTER_QUEUE'!$Y100="Ready",'MASTER_QUEUE'!D100,"")</x:f>
      </x:c>
      <x:c r="E100" s="30" t="str">
        <x:f>IF('MASTER_QUEUE'!$Y100="Ready",'MASTER_QUEUE'!E100,"")</x:f>
      </x:c>
      <x:c r="F100" s="30" t="str">
        <x:f>IF('MASTER_QUEUE'!$Y100="Ready",'MASTER_QUEUE'!F100,"")</x:f>
      </x:c>
      <x:c r="G100" s="30" t="str">
        <x:f>IF('MASTER_QUEUE'!$Y100="Ready",'MASTER_QUEUE'!G100,"")</x:f>
      </x:c>
      <x:c r="H100" s="99" t="str">
        <x:f>IF('MASTER_QUEUE'!$Y100="Ready",'MASTER_QUEUE'!H100,"")</x:f>
      </x:c>
    </x:row>
    <x:row r="101" ht="22" customHeight="1">
      <x:c r="A101" s="30" t="str">
        <x:f>IF('MASTER_QUEUE'!$Y101="Ready",'MASTER_QUEUE'!A101,"")</x:f>
      </x:c>
      <x:c r="B101" s="30" t="str">
        <x:f>IF('MASTER_QUEUE'!$Y101="Ready",'MASTER_QUEUE'!B101,"")</x:f>
      </x:c>
      <x:c r="C101" s="30" t="str">
        <x:f>IF('MASTER_QUEUE'!$Y101="Ready",'MASTER_QUEUE'!C101,"")</x:f>
      </x:c>
      <x:c r="D101" s="30" t="str">
        <x:f>IF('MASTER_QUEUE'!$Y101="Ready",'MASTER_QUEUE'!D101,"")</x:f>
      </x:c>
      <x:c r="E101" s="30" t="str">
        <x:f>IF('MASTER_QUEUE'!$Y101="Ready",'MASTER_QUEUE'!E101,"")</x:f>
      </x:c>
      <x:c r="F101" s="30" t="str">
        <x:f>IF('MASTER_QUEUE'!$Y101="Ready",'MASTER_QUEUE'!F101,"")</x:f>
      </x:c>
      <x:c r="G101" s="30" t="str">
        <x:f>IF('MASTER_QUEUE'!$Y101="Ready",'MASTER_QUEUE'!G101,"")</x:f>
      </x:c>
      <x:c r="H101" s="99" t="str">
        <x:f>IF('MASTER_QUEUE'!$Y101="Ready",'MASTER_QUEUE'!H101,"")</x:f>
      </x:c>
    </x:row>
    <x:row r="102" ht="22" customHeight="1">
      <x:c r="A102" s="30" t="str">
        <x:f>IF('MASTER_QUEUE'!$Y102="Ready",'MASTER_QUEUE'!A102,"")</x:f>
      </x:c>
      <x:c r="B102" s="30" t="str">
        <x:f>IF('MASTER_QUEUE'!$Y102="Ready",'MASTER_QUEUE'!B102,"")</x:f>
      </x:c>
      <x:c r="C102" s="30" t="str">
        <x:f>IF('MASTER_QUEUE'!$Y102="Ready",'MASTER_QUEUE'!C102,"")</x:f>
      </x:c>
      <x:c r="D102" s="30" t="str">
        <x:f>IF('MASTER_QUEUE'!$Y102="Ready",'MASTER_QUEUE'!D102,"")</x:f>
      </x:c>
      <x:c r="E102" s="30" t="str">
        <x:f>IF('MASTER_QUEUE'!$Y102="Ready",'MASTER_QUEUE'!E102,"")</x:f>
      </x:c>
      <x:c r="F102" s="30" t="str">
        <x:f>IF('MASTER_QUEUE'!$Y102="Ready",'MASTER_QUEUE'!F102,"")</x:f>
      </x:c>
      <x:c r="G102" s="30" t="str">
        <x:f>IF('MASTER_QUEUE'!$Y102="Ready",'MASTER_QUEUE'!G102,"")</x:f>
      </x:c>
      <x:c r="H102" s="99" t="str">
        <x:f>IF('MASTER_QUEUE'!$Y102="Ready",'MASTER_QUEUE'!H102,"")</x:f>
      </x:c>
    </x:row>
    <x:row r="103" ht="22" customHeight="1">
      <x:c r="A103" s="30" t="str">
        <x:f>IF('MASTER_QUEUE'!$Y103="Ready",'MASTER_QUEUE'!A103,"")</x:f>
      </x:c>
      <x:c r="B103" s="30" t="str">
        <x:f>IF('MASTER_QUEUE'!$Y103="Ready",'MASTER_QUEUE'!B103,"")</x:f>
      </x:c>
      <x:c r="C103" s="30" t="str">
        <x:f>IF('MASTER_QUEUE'!$Y103="Ready",'MASTER_QUEUE'!C103,"")</x:f>
      </x:c>
      <x:c r="D103" s="30" t="str">
        <x:f>IF('MASTER_QUEUE'!$Y103="Ready",'MASTER_QUEUE'!D103,"")</x:f>
      </x:c>
      <x:c r="E103" s="30" t="str">
        <x:f>IF('MASTER_QUEUE'!$Y103="Ready",'MASTER_QUEUE'!E103,"")</x:f>
      </x:c>
      <x:c r="F103" s="30" t="str">
        <x:f>IF('MASTER_QUEUE'!$Y103="Ready",'MASTER_QUEUE'!F103,"")</x:f>
      </x:c>
      <x:c r="G103" s="30" t="str">
        <x:f>IF('MASTER_QUEUE'!$Y103="Ready",'MASTER_QUEUE'!G103,"")</x:f>
      </x:c>
      <x:c r="H103" s="99" t="str">
        <x:f>IF('MASTER_QUEUE'!$Y103="Ready",'MASTER_QUEUE'!H103,"")</x:f>
      </x:c>
    </x:row>
    <x:row r="104" ht="22" customHeight="1">
      <x:c r="A104" s="30" t="str">
        <x:f>IF('MASTER_QUEUE'!$Y104="Ready",'MASTER_QUEUE'!A104,"")</x:f>
      </x:c>
      <x:c r="B104" s="30" t="str">
        <x:f>IF('MASTER_QUEUE'!$Y104="Ready",'MASTER_QUEUE'!B104,"")</x:f>
      </x:c>
      <x:c r="C104" s="30" t="str">
        <x:f>IF('MASTER_QUEUE'!$Y104="Ready",'MASTER_QUEUE'!C104,"")</x:f>
      </x:c>
      <x:c r="D104" s="30" t="str">
        <x:f>IF('MASTER_QUEUE'!$Y104="Ready",'MASTER_QUEUE'!D104,"")</x:f>
      </x:c>
      <x:c r="E104" s="30" t="str">
        <x:f>IF('MASTER_QUEUE'!$Y104="Ready",'MASTER_QUEUE'!E104,"")</x:f>
      </x:c>
      <x:c r="F104" s="30" t="str">
        <x:f>IF('MASTER_QUEUE'!$Y104="Ready",'MASTER_QUEUE'!F104,"")</x:f>
      </x:c>
      <x:c r="G104" s="30" t="str">
        <x:f>IF('MASTER_QUEUE'!$Y104="Ready",'MASTER_QUEUE'!G104,"")</x:f>
      </x:c>
      <x:c r="H104" s="99" t="str">
        <x:f>IF('MASTER_QUEUE'!$Y104="Ready",'MASTER_QUEUE'!H104,"")</x:f>
      </x:c>
    </x:row>
    <x:row r="105" ht="22" customHeight="1">
      <x:c r="A105" s="30" t="str">
        <x:f>IF('MASTER_QUEUE'!$Y105="Ready",'MASTER_QUEUE'!A105,"")</x:f>
      </x:c>
      <x:c r="B105" s="30" t="str">
        <x:f>IF('MASTER_QUEUE'!$Y105="Ready",'MASTER_QUEUE'!B105,"")</x:f>
      </x:c>
      <x:c r="C105" s="30" t="str">
        <x:f>IF('MASTER_QUEUE'!$Y105="Ready",'MASTER_QUEUE'!C105,"")</x:f>
      </x:c>
      <x:c r="D105" s="30" t="str">
        <x:f>IF('MASTER_QUEUE'!$Y105="Ready",'MASTER_QUEUE'!D105,"")</x:f>
      </x:c>
      <x:c r="E105" s="30" t="str">
        <x:f>IF('MASTER_QUEUE'!$Y105="Ready",'MASTER_QUEUE'!E105,"")</x:f>
      </x:c>
      <x:c r="F105" s="30" t="str">
        <x:f>IF('MASTER_QUEUE'!$Y105="Ready",'MASTER_QUEUE'!F105,"")</x:f>
      </x:c>
      <x:c r="G105" s="30" t="str">
        <x:f>IF('MASTER_QUEUE'!$Y105="Ready",'MASTER_QUEUE'!G105,"")</x:f>
      </x:c>
      <x:c r="H105" s="99" t="str">
        <x:f>IF('MASTER_QUEUE'!$Y105="Ready",'MASTER_QUEUE'!H105,"")</x:f>
      </x:c>
    </x:row>
    <x:row r="106" ht="22" customHeight="1">
      <x:c r="A106" s="30" t="str">
        <x:f>IF('MASTER_QUEUE'!$Y106="Ready",'MASTER_QUEUE'!A106,"")</x:f>
      </x:c>
      <x:c r="B106" s="30" t="str">
        <x:f>IF('MASTER_QUEUE'!$Y106="Ready",'MASTER_QUEUE'!B106,"")</x:f>
      </x:c>
      <x:c r="C106" s="30" t="str">
        <x:f>IF('MASTER_QUEUE'!$Y106="Ready",'MASTER_QUEUE'!C106,"")</x:f>
      </x:c>
      <x:c r="D106" s="30" t="str">
        <x:f>IF('MASTER_QUEUE'!$Y106="Ready",'MASTER_QUEUE'!D106,"")</x:f>
      </x:c>
      <x:c r="E106" s="30" t="str">
        <x:f>IF('MASTER_QUEUE'!$Y106="Ready",'MASTER_QUEUE'!E106,"")</x:f>
      </x:c>
      <x:c r="F106" s="30" t="str">
        <x:f>IF('MASTER_QUEUE'!$Y106="Ready",'MASTER_QUEUE'!F106,"")</x:f>
      </x:c>
      <x:c r="G106" s="30" t="str">
        <x:f>IF('MASTER_QUEUE'!$Y106="Ready",'MASTER_QUEUE'!G106,"")</x:f>
      </x:c>
      <x:c r="H106" s="99" t="str">
        <x:f>IF('MASTER_QUEUE'!$Y106="Ready",'MASTER_QUEUE'!H106,"")</x:f>
      </x:c>
    </x:row>
    <x:row r="107" ht="22" customHeight="1">
      <x:c r="A107" s="30" t="str">
        <x:f>IF('MASTER_QUEUE'!$Y107="Ready",'MASTER_QUEUE'!A107,"")</x:f>
      </x:c>
      <x:c r="B107" s="30" t="str">
        <x:f>IF('MASTER_QUEUE'!$Y107="Ready",'MASTER_QUEUE'!B107,"")</x:f>
      </x:c>
      <x:c r="C107" s="30" t="str">
        <x:f>IF('MASTER_QUEUE'!$Y107="Ready",'MASTER_QUEUE'!C107,"")</x:f>
      </x:c>
      <x:c r="D107" s="30" t="str">
        <x:f>IF('MASTER_QUEUE'!$Y107="Ready",'MASTER_QUEUE'!D107,"")</x:f>
      </x:c>
      <x:c r="E107" s="30" t="str">
        <x:f>IF('MASTER_QUEUE'!$Y107="Ready",'MASTER_QUEUE'!E107,"")</x:f>
      </x:c>
      <x:c r="F107" s="30" t="str">
        <x:f>IF('MASTER_QUEUE'!$Y107="Ready",'MASTER_QUEUE'!F107,"")</x:f>
      </x:c>
      <x:c r="G107" s="30" t="str">
        <x:f>IF('MASTER_QUEUE'!$Y107="Ready",'MASTER_QUEUE'!G107,"")</x:f>
      </x:c>
      <x:c r="H107" s="99" t="str">
        <x:f>IF('MASTER_QUEUE'!$Y107="Ready",'MASTER_QUEUE'!H107,"")</x:f>
      </x:c>
    </x:row>
    <x:row r="108" ht="22" customHeight="1">
      <x:c r="A108" s="30" t="str">
        <x:f>IF('MASTER_QUEUE'!$Y108="Ready",'MASTER_QUEUE'!A108,"")</x:f>
      </x:c>
      <x:c r="B108" s="30" t="str">
        <x:f>IF('MASTER_QUEUE'!$Y108="Ready",'MASTER_QUEUE'!B108,"")</x:f>
      </x:c>
      <x:c r="C108" s="30" t="str">
        <x:f>IF('MASTER_QUEUE'!$Y108="Ready",'MASTER_QUEUE'!C108,"")</x:f>
      </x:c>
      <x:c r="D108" s="30" t="str">
        <x:f>IF('MASTER_QUEUE'!$Y108="Ready",'MASTER_QUEUE'!D108,"")</x:f>
      </x:c>
      <x:c r="E108" s="30" t="str">
        <x:f>IF('MASTER_QUEUE'!$Y108="Ready",'MASTER_QUEUE'!E108,"")</x:f>
      </x:c>
      <x:c r="F108" s="30" t="str">
        <x:f>IF('MASTER_QUEUE'!$Y108="Ready",'MASTER_QUEUE'!F108,"")</x:f>
      </x:c>
      <x:c r="G108" s="30" t="str">
        <x:f>IF('MASTER_QUEUE'!$Y108="Ready",'MASTER_QUEUE'!G108,"")</x:f>
      </x:c>
      <x:c r="H108" s="99" t="str">
        <x:f>IF('MASTER_QUEUE'!$Y108="Ready",'MASTER_QUEUE'!H108,"")</x:f>
      </x:c>
    </x:row>
    <x:row r="109" ht="22" customHeight="1">
      <x:c r="A109" s="30" t="str">
        <x:f>IF('MASTER_QUEUE'!$Y109="Ready",'MASTER_QUEUE'!A109,"")</x:f>
      </x:c>
      <x:c r="B109" s="30" t="str">
        <x:f>IF('MASTER_QUEUE'!$Y109="Ready",'MASTER_QUEUE'!B109,"")</x:f>
      </x:c>
      <x:c r="C109" s="30" t="str">
        <x:f>IF('MASTER_QUEUE'!$Y109="Ready",'MASTER_QUEUE'!C109,"")</x:f>
      </x:c>
      <x:c r="D109" s="30" t="str">
        <x:f>IF('MASTER_QUEUE'!$Y109="Ready",'MASTER_QUEUE'!D109,"")</x:f>
      </x:c>
      <x:c r="E109" s="30" t="str">
        <x:f>IF('MASTER_QUEUE'!$Y109="Ready",'MASTER_QUEUE'!E109,"")</x:f>
      </x:c>
      <x:c r="F109" s="30" t="str">
        <x:f>IF('MASTER_QUEUE'!$Y109="Ready",'MASTER_QUEUE'!F109,"")</x:f>
      </x:c>
      <x:c r="G109" s="30" t="str">
        <x:f>IF('MASTER_QUEUE'!$Y109="Ready",'MASTER_QUEUE'!G109,"")</x:f>
      </x:c>
      <x:c r="H109" s="99" t="str">
        <x:f>IF('MASTER_QUEUE'!$Y109="Ready",'MASTER_QUEUE'!H109,"")</x:f>
      </x:c>
    </x:row>
    <x:row r="110" ht="22" customHeight="1">
      <x:c r="A110" s="30" t="str">
        <x:f>IF('MASTER_QUEUE'!$Y110="Ready",'MASTER_QUEUE'!A110,"")</x:f>
      </x:c>
      <x:c r="B110" s="30" t="str">
        <x:f>IF('MASTER_QUEUE'!$Y110="Ready",'MASTER_QUEUE'!B110,"")</x:f>
      </x:c>
      <x:c r="C110" s="30" t="str">
        <x:f>IF('MASTER_QUEUE'!$Y110="Ready",'MASTER_QUEUE'!C110,"")</x:f>
      </x:c>
      <x:c r="D110" s="30" t="str">
        <x:f>IF('MASTER_QUEUE'!$Y110="Ready",'MASTER_QUEUE'!D110,"")</x:f>
      </x:c>
      <x:c r="E110" s="30" t="str">
        <x:f>IF('MASTER_QUEUE'!$Y110="Ready",'MASTER_QUEUE'!E110,"")</x:f>
      </x:c>
      <x:c r="F110" s="30" t="str">
        <x:f>IF('MASTER_QUEUE'!$Y110="Ready",'MASTER_QUEUE'!F110,"")</x:f>
      </x:c>
      <x:c r="G110" s="30" t="str">
        <x:f>IF('MASTER_QUEUE'!$Y110="Ready",'MASTER_QUEUE'!G110,"")</x:f>
      </x:c>
      <x:c r="H110" s="99" t="str">
        <x:f>IF('MASTER_QUEUE'!$Y110="Ready",'MASTER_QUEUE'!H110,"")</x:f>
      </x:c>
    </x:row>
    <x:row r="111" ht="22" customHeight="1">
      <x:c r="A111" s="30" t="str">
        <x:f>IF('MASTER_QUEUE'!$Y111="Ready",'MASTER_QUEUE'!A111,"")</x:f>
      </x:c>
      <x:c r="B111" s="30" t="str">
        <x:f>IF('MASTER_QUEUE'!$Y111="Ready",'MASTER_QUEUE'!B111,"")</x:f>
      </x:c>
      <x:c r="C111" s="30" t="str">
        <x:f>IF('MASTER_QUEUE'!$Y111="Ready",'MASTER_QUEUE'!C111,"")</x:f>
      </x:c>
      <x:c r="D111" s="30" t="str">
        <x:f>IF('MASTER_QUEUE'!$Y111="Ready",'MASTER_QUEUE'!D111,"")</x:f>
      </x:c>
      <x:c r="E111" s="30" t="str">
        <x:f>IF('MASTER_QUEUE'!$Y111="Ready",'MASTER_QUEUE'!E111,"")</x:f>
      </x:c>
      <x:c r="F111" s="30" t="str">
        <x:f>IF('MASTER_QUEUE'!$Y111="Ready",'MASTER_QUEUE'!F111,"")</x:f>
      </x:c>
      <x:c r="G111" s="30" t="str">
        <x:f>IF('MASTER_QUEUE'!$Y111="Ready",'MASTER_QUEUE'!G111,"")</x:f>
      </x:c>
      <x:c r="H111" s="99" t="str">
        <x:f>IF('MASTER_QUEUE'!$Y111="Ready",'MASTER_QUEUE'!H111,"")</x:f>
      </x:c>
    </x:row>
    <x:row r="112" ht="22" customHeight="1">
      <x:c r="A112" s="30" t="str">
        <x:f>IF('MASTER_QUEUE'!$Y112="Ready",'MASTER_QUEUE'!A112,"")</x:f>
      </x:c>
      <x:c r="B112" s="30" t="str">
        <x:f>IF('MASTER_QUEUE'!$Y112="Ready",'MASTER_QUEUE'!B112,"")</x:f>
      </x:c>
      <x:c r="C112" s="30" t="str">
        <x:f>IF('MASTER_QUEUE'!$Y112="Ready",'MASTER_QUEUE'!C112,"")</x:f>
      </x:c>
      <x:c r="D112" s="30" t="str">
        <x:f>IF('MASTER_QUEUE'!$Y112="Ready",'MASTER_QUEUE'!D112,"")</x:f>
      </x:c>
      <x:c r="E112" s="30" t="str">
        <x:f>IF('MASTER_QUEUE'!$Y112="Ready",'MASTER_QUEUE'!E112,"")</x:f>
      </x:c>
      <x:c r="F112" s="30" t="str">
        <x:f>IF('MASTER_QUEUE'!$Y112="Ready",'MASTER_QUEUE'!F112,"")</x:f>
      </x:c>
      <x:c r="G112" s="30" t="str">
        <x:f>IF('MASTER_QUEUE'!$Y112="Ready",'MASTER_QUEUE'!G112,"")</x:f>
      </x:c>
      <x:c r="H112" s="99" t="str">
        <x:f>IF('MASTER_QUEUE'!$Y112="Ready",'MASTER_QUEUE'!H112,"")</x:f>
      </x:c>
    </x:row>
    <x:row r="113" ht="22" customHeight="1">
      <x:c r="A113" s="30" t="str">
        <x:f>IF('MASTER_QUEUE'!$Y113="Ready",'MASTER_QUEUE'!A113,"")</x:f>
      </x:c>
      <x:c r="B113" s="30" t="str">
        <x:f>IF('MASTER_QUEUE'!$Y113="Ready",'MASTER_QUEUE'!B113,"")</x:f>
      </x:c>
      <x:c r="C113" s="30" t="str">
        <x:f>IF('MASTER_QUEUE'!$Y113="Ready",'MASTER_QUEUE'!C113,"")</x:f>
      </x:c>
      <x:c r="D113" s="30" t="str">
        <x:f>IF('MASTER_QUEUE'!$Y113="Ready",'MASTER_QUEUE'!D113,"")</x:f>
      </x:c>
      <x:c r="E113" s="30" t="str">
        <x:f>IF('MASTER_QUEUE'!$Y113="Ready",'MASTER_QUEUE'!E113,"")</x:f>
      </x:c>
      <x:c r="F113" s="30" t="str">
        <x:f>IF('MASTER_QUEUE'!$Y113="Ready",'MASTER_QUEUE'!F113,"")</x:f>
      </x:c>
      <x:c r="G113" s="30" t="str">
        <x:f>IF('MASTER_QUEUE'!$Y113="Ready",'MASTER_QUEUE'!G113,"")</x:f>
      </x:c>
      <x:c r="H113" s="99" t="str">
        <x:f>IF('MASTER_QUEUE'!$Y113="Ready",'MASTER_QUEUE'!H113,"")</x:f>
      </x:c>
    </x:row>
    <x:row r="114" ht="22" customHeight="1">
      <x:c r="A114" s="30" t="str">
        <x:f>IF('MASTER_QUEUE'!$Y114="Ready",'MASTER_QUEUE'!A114,"")</x:f>
      </x:c>
      <x:c r="B114" s="30" t="str">
        <x:f>IF('MASTER_QUEUE'!$Y114="Ready",'MASTER_QUEUE'!B114,"")</x:f>
      </x:c>
      <x:c r="C114" s="30" t="str">
        <x:f>IF('MASTER_QUEUE'!$Y114="Ready",'MASTER_QUEUE'!C114,"")</x:f>
      </x:c>
      <x:c r="D114" s="30" t="str">
        <x:f>IF('MASTER_QUEUE'!$Y114="Ready",'MASTER_QUEUE'!D114,"")</x:f>
      </x:c>
      <x:c r="E114" s="30" t="str">
        <x:f>IF('MASTER_QUEUE'!$Y114="Ready",'MASTER_QUEUE'!E114,"")</x:f>
      </x:c>
      <x:c r="F114" s="30" t="str">
        <x:f>IF('MASTER_QUEUE'!$Y114="Ready",'MASTER_QUEUE'!F114,"")</x:f>
      </x:c>
      <x:c r="G114" s="30" t="str">
        <x:f>IF('MASTER_QUEUE'!$Y114="Ready",'MASTER_QUEUE'!G114,"")</x:f>
      </x:c>
      <x:c r="H114" s="99" t="str">
        <x:f>IF('MASTER_QUEUE'!$Y114="Ready",'MASTER_QUEUE'!H114,"")</x:f>
      </x:c>
    </x:row>
    <x:row r="115" ht="22" customHeight="1">
      <x:c r="A115" s="30" t="str">
        <x:f>IF('MASTER_QUEUE'!$Y115="Ready",'MASTER_QUEUE'!A115,"")</x:f>
      </x:c>
      <x:c r="B115" s="30" t="str">
        <x:f>IF('MASTER_QUEUE'!$Y115="Ready",'MASTER_QUEUE'!B115,"")</x:f>
      </x:c>
      <x:c r="C115" s="30" t="str">
        <x:f>IF('MASTER_QUEUE'!$Y115="Ready",'MASTER_QUEUE'!C115,"")</x:f>
      </x:c>
      <x:c r="D115" s="30" t="str">
        <x:f>IF('MASTER_QUEUE'!$Y115="Ready",'MASTER_QUEUE'!D115,"")</x:f>
      </x:c>
      <x:c r="E115" s="30" t="str">
        <x:f>IF('MASTER_QUEUE'!$Y115="Ready",'MASTER_QUEUE'!E115,"")</x:f>
      </x:c>
      <x:c r="F115" s="30" t="str">
        <x:f>IF('MASTER_QUEUE'!$Y115="Ready",'MASTER_QUEUE'!F115,"")</x:f>
      </x:c>
      <x:c r="G115" s="30" t="str">
        <x:f>IF('MASTER_QUEUE'!$Y115="Ready",'MASTER_QUEUE'!G115,"")</x:f>
      </x:c>
      <x:c r="H115" s="99" t="str">
        <x:f>IF('MASTER_QUEUE'!$Y115="Ready",'MASTER_QUEUE'!H115,"")</x:f>
      </x:c>
    </x:row>
    <x:row r="116" ht="22" customHeight="1">
      <x:c r="A116" s="30" t="str">
        <x:f>IF('MASTER_QUEUE'!$Y116="Ready",'MASTER_QUEUE'!A116,"")</x:f>
      </x:c>
      <x:c r="B116" s="30" t="str">
        <x:f>IF('MASTER_QUEUE'!$Y116="Ready",'MASTER_QUEUE'!B116,"")</x:f>
      </x:c>
      <x:c r="C116" s="30" t="str">
        <x:f>IF('MASTER_QUEUE'!$Y116="Ready",'MASTER_QUEUE'!C116,"")</x:f>
      </x:c>
      <x:c r="D116" s="30" t="str">
        <x:f>IF('MASTER_QUEUE'!$Y116="Ready",'MASTER_QUEUE'!D116,"")</x:f>
      </x:c>
      <x:c r="E116" s="30" t="str">
        <x:f>IF('MASTER_QUEUE'!$Y116="Ready",'MASTER_QUEUE'!E116,"")</x:f>
      </x:c>
      <x:c r="F116" s="30" t="str">
        <x:f>IF('MASTER_QUEUE'!$Y116="Ready",'MASTER_QUEUE'!F116,"")</x:f>
      </x:c>
      <x:c r="G116" s="30" t="str">
        <x:f>IF('MASTER_QUEUE'!$Y116="Ready",'MASTER_QUEUE'!G116,"")</x:f>
      </x:c>
      <x:c r="H116" s="99" t="str">
        <x:f>IF('MASTER_QUEUE'!$Y116="Ready",'MASTER_QUEUE'!H116,"")</x:f>
      </x:c>
    </x:row>
    <x:row r="117" ht="22" customHeight="1">
      <x:c r="A117" s="30" t="str">
        <x:f>IF('MASTER_QUEUE'!$Y117="Ready",'MASTER_QUEUE'!A117,"")</x:f>
      </x:c>
      <x:c r="B117" s="30" t="str">
        <x:f>IF('MASTER_QUEUE'!$Y117="Ready",'MASTER_QUEUE'!B117,"")</x:f>
      </x:c>
      <x:c r="C117" s="30" t="str">
        <x:f>IF('MASTER_QUEUE'!$Y117="Ready",'MASTER_QUEUE'!C117,"")</x:f>
      </x:c>
      <x:c r="D117" s="30" t="str">
        <x:f>IF('MASTER_QUEUE'!$Y117="Ready",'MASTER_QUEUE'!D117,"")</x:f>
      </x:c>
      <x:c r="E117" s="30" t="str">
        <x:f>IF('MASTER_QUEUE'!$Y117="Ready",'MASTER_QUEUE'!E117,"")</x:f>
      </x:c>
      <x:c r="F117" s="30" t="str">
        <x:f>IF('MASTER_QUEUE'!$Y117="Ready",'MASTER_QUEUE'!F117,"")</x:f>
      </x:c>
      <x:c r="G117" s="30" t="str">
        <x:f>IF('MASTER_QUEUE'!$Y117="Ready",'MASTER_QUEUE'!G117,"")</x:f>
      </x:c>
      <x:c r="H117" s="99" t="str">
        <x:f>IF('MASTER_QUEUE'!$Y117="Ready",'MASTER_QUEUE'!H117,"")</x:f>
      </x:c>
    </x:row>
    <x:row r="118" ht="22" customHeight="1">
      <x:c r="A118" s="30" t="str">
        <x:f>IF('MASTER_QUEUE'!$Y118="Ready",'MASTER_QUEUE'!A118,"")</x:f>
      </x:c>
      <x:c r="B118" s="30" t="str">
        <x:f>IF('MASTER_QUEUE'!$Y118="Ready",'MASTER_QUEUE'!B118,"")</x:f>
      </x:c>
      <x:c r="C118" s="30" t="str">
        <x:f>IF('MASTER_QUEUE'!$Y118="Ready",'MASTER_QUEUE'!C118,"")</x:f>
      </x:c>
      <x:c r="D118" s="30" t="str">
        <x:f>IF('MASTER_QUEUE'!$Y118="Ready",'MASTER_QUEUE'!D118,"")</x:f>
      </x:c>
      <x:c r="E118" s="30" t="str">
        <x:f>IF('MASTER_QUEUE'!$Y118="Ready",'MASTER_QUEUE'!E118,"")</x:f>
      </x:c>
      <x:c r="F118" s="30" t="str">
        <x:f>IF('MASTER_QUEUE'!$Y118="Ready",'MASTER_QUEUE'!F118,"")</x:f>
      </x:c>
      <x:c r="G118" s="30" t="str">
        <x:f>IF('MASTER_QUEUE'!$Y118="Ready",'MASTER_QUEUE'!G118,"")</x:f>
      </x:c>
      <x:c r="H118" s="99" t="str">
        <x:f>IF('MASTER_QUEUE'!$Y118="Ready",'MASTER_QUEUE'!H118,"")</x:f>
      </x:c>
    </x:row>
    <x:row r="119" ht="22" customHeight="1">
      <x:c r="A119" s="30" t="str">
        <x:f>IF('MASTER_QUEUE'!$Y119="Ready",'MASTER_QUEUE'!A119,"")</x:f>
      </x:c>
      <x:c r="B119" s="30" t="str">
        <x:f>IF('MASTER_QUEUE'!$Y119="Ready",'MASTER_QUEUE'!B119,"")</x:f>
      </x:c>
      <x:c r="C119" s="30" t="str">
        <x:f>IF('MASTER_QUEUE'!$Y119="Ready",'MASTER_QUEUE'!C119,"")</x:f>
      </x:c>
      <x:c r="D119" s="30" t="str">
        <x:f>IF('MASTER_QUEUE'!$Y119="Ready",'MASTER_QUEUE'!D119,"")</x:f>
      </x:c>
      <x:c r="E119" s="30" t="str">
        <x:f>IF('MASTER_QUEUE'!$Y119="Ready",'MASTER_QUEUE'!E119,"")</x:f>
      </x:c>
      <x:c r="F119" s="30" t="str">
        <x:f>IF('MASTER_QUEUE'!$Y119="Ready",'MASTER_QUEUE'!F119,"")</x:f>
      </x:c>
      <x:c r="G119" s="30" t="str">
        <x:f>IF('MASTER_QUEUE'!$Y119="Ready",'MASTER_QUEUE'!G119,"")</x:f>
      </x:c>
      <x:c r="H119" s="99" t="str">
        <x:f>IF('MASTER_QUEUE'!$Y119="Ready",'MASTER_QUEUE'!H119,"")</x:f>
      </x:c>
    </x:row>
    <x:row r="120" ht="22" customHeight="1">
      <x:c r="A120" s="30" t="str">
        <x:f>IF('MASTER_QUEUE'!$Y120="Ready",'MASTER_QUEUE'!A120,"")</x:f>
      </x:c>
      <x:c r="B120" s="30" t="str">
        <x:f>IF('MASTER_QUEUE'!$Y120="Ready",'MASTER_QUEUE'!B120,"")</x:f>
      </x:c>
      <x:c r="C120" s="30" t="str">
        <x:f>IF('MASTER_QUEUE'!$Y120="Ready",'MASTER_QUEUE'!C120,"")</x:f>
      </x:c>
      <x:c r="D120" s="30" t="str">
        <x:f>IF('MASTER_QUEUE'!$Y120="Ready",'MASTER_QUEUE'!D120,"")</x:f>
      </x:c>
      <x:c r="E120" s="30" t="str">
        <x:f>IF('MASTER_QUEUE'!$Y120="Ready",'MASTER_QUEUE'!E120,"")</x:f>
      </x:c>
      <x:c r="F120" s="30" t="str">
        <x:f>IF('MASTER_QUEUE'!$Y120="Ready",'MASTER_QUEUE'!F120,"")</x:f>
      </x:c>
      <x:c r="G120" s="30" t="str">
        <x:f>IF('MASTER_QUEUE'!$Y120="Ready",'MASTER_QUEUE'!G120,"")</x:f>
      </x:c>
      <x:c r="H120" s="99" t="str">
        <x:f>IF('MASTER_QUEUE'!$Y120="Ready",'MASTER_QUEUE'!H120,"")</x:f>
      </x:c>
    </x:row>
    <x:row r="121" ht="22" customHeight="1">
      <x:c r="A121" s="30" t="str">
        <x:f>IF('MASTER_QUEUE'!$Y121="Ready",'MASTER_QUEUE'!A121,"")</x:f>
      </x:c>
      <x:c r="B121" s="30" t="str">
        <x:f>IF('MASTER_QUEUE'!$Y121="Ready",'MASTER_QUEUE'!B121,"")</x:f>
      </x:c>
      <x:c r="C121" s="30" t="str">
        <x:f>IF('MASTER_QUEUE'!$Y121="Ready",'MASTER_QUEUE'!C121,"")</x:f>
      </x:c>
      <x:c r="D121" s="30" t="str">
        <x:f>IF('MASTER_QUEUE'!$Y121="Ready",'MASTER_QUEUE'!D121,"")</x:f>
      </x:c>
      <x:c r="E121" s="30" t="str">
        <x:f>IF('MASTER_QUEUE'!$Y121="Ready",'MASTER_QUEUE'!E121,"")</x:f>
      </x:c>
      <x:c r="F121" s="30" t="str">
        <x:f>IF('MASTER_QUEUE'!$Y121="Ready",'MASTER_QUEUE'!F121,"")</x:f>
      </x:c>
      <x:c r="G121" s="30" t="str">
        <x:f>IF('MASTER_QUEUE'!$Y121="Ready",'MASTER_QUEUE'!G121,"")</x:f>
      </x:c>
      <x:c r="H121" s="99" t="str">
        <x:f>IF('MASTER_QUEUE'!$Y121="Ready",'MASTER_QUEUE'!H121,"")</x:f>
      </x:c>
    </x:row>
    <x:row r="122" ht="22" customHeight="1">
      <x:c r="A122" s="30" t="str">
        <x:f>IF('MASTER_QUEUE'!$Y122="Ready",'MASTER_QUEUE'!A122,"")</x:f>
      </x:c>
      <x:c r="B122" s="30" t="str">
        <x:f>IF('MASTER_QUEUE'!$Y122="Ready",'MASTER_QUEUE'!B122,"")</x:f>
      </x:c>
      <x:c r="C122" s="30" t="str">
        <x:f>IF('MASTER_QUEUE'!$Y122="Ready",'MASTER_QUEUE'!C122,"")</x:f>
      </x:c>
      <x:c r="D122" s="30" t="str">
        <x:f>IF('MASTER_QUEUE'!$Y122="Ready",'MASTER_QUEUE'!D122,"")</x:f>
      </x:c>
      <x:c r="E122" s="30" t="str">
        <x:f>IF('MASTER_QUEUE'!$Y122="Ready",'MASTER_QUEUE'!E122,"")</x:f>
      </x:c>
      <x:c r="F122" s="30" t="str">
        <x:f>IF('MASTER_QUEUE'!$Y122="Ready",'MASTER_QUEUE'!F122,"")</x:f>
      </x:c>
      <x:c r="G122" s="30" t="str">
        <x:f>IF('MASTER_QUEUE'!$Y122="Ready",'MASTER_QUEUE'!G122,"")</x:f>
      </x:c>
      <x:c r="H122" s="99" t="str">
        <x:f>IF('MASTER_QUEUE'!$Y122="Ready",'MASTER_QUEUE'!H122,"")</x:f>
      </x:c>
    </x:row>
    <x:row r="123" ht="22" customHeight="1">
      <x:c r="A123" s="30" t="str">
        <x:f>IF('MASTER_QUEUE'!$Y123="Ready",'MASTER_QUEUE'!A123,"")</x:f>
      </x:c>
      <x:c r="B123" s="30" t="str">
        <x:f>IF('MASTER_QUEUE'!$Y123="Ready",'MASTER_QUEUE'!B123,"")</x:f>
      </x:c>
      <x:c r="C123" s="30" t="str">
        <x:f>IF('MASTER_QUEUE'!$Y123="Ready",'MASTER_QUEUE'!C123,"")</x:f>
      </x:c>
      <x:c r="D123" s="30" t="str">
        <x:f>IF('MASTER_QUEUE'!$Y123="Ready",'MASTER_QUEUE'!D123,"")</x:f>
      </x:c>
      <x:c r="E123" s="30" t="str">
        <x:f>IF('MASTER_QUEUE'!$Y123="Ready",'MASTER_QUEUE'!E123,"")</x:f>
      </x:c>
      <x:c r="F123" s="30" t="str">
        <x:f>IF('MASTER_QUEUE'!$Y123="Ready",'MASTER_QUEUE'!F123,"")</x:f>
      </x:c>
      <x:c r="G123" s="30" t="str">
        <x:f>IF('MASTER_QUEUE'!$Y123="Ready",'MASTER_QUEUE'!G123,"")</x:f>
      </x:c>
      <x:c r="H123" s="99" t="str">
        <x:f>IF('MASTER_QUEUE'!$Y123="Ready",'MASTER_QUEUE'!H123,"")</x:f>
      </x:c>
    </x:row>
    <x:row r="124" ht="22" customHeight="1">
      <x:c r="A124" s="30" t="str">
        <x:f>IF('MASTER_QUEUE'!$Y124="Ready",'MASTER_QUEUE'!A124,"")</x:f>
      </x:c>
      <x:c r="B124" s="30" t="str">
        <x:f>IF('MASTER_QUEUE'!$Y124="Ready",'MASTER_QUEUE'!B124,"")</x:f>
      </x:c>
      <x:c r="C124" s="30" t="str">
        <x:f>IF('MASTER_QUEUE'!$Y124="Ready",'MASTER_QUEUE'!C124,"")</x:f>
      </x:c>
      <x:c r="D124" s="30" t="str">
        <x:f>IF('MASTER_QUEUE'!$Y124="Ready",'MASTER_QUEUE'!D124,"")</x:f>
      </x:c>
      <x:c r="E124" s="30" t="str">
        <x:f>IF('MASTER_QUEUE'!$Y124="Ready",'MASTER_QUEUE'!E124,"")</x:f>
      </x:c>
      <x:c r="F124" s="30" t="str">
        <x:f>IF('MASTER_QUEUE'!$Y124="Ready",'MASTER_QUEUE'!F124,"")</x:f>
      </x:c>
      <x:c r="G124" s="30" t="str">
        <x:f>IF('MASTER_QUEUE'!$Y124="Ready",'MASTER_QUEUE'!G124,"")</x:f>
      </x:c>
      <x:c r="H124" s="99" t="str">
        <x:f>IF('MASTER_QUEUE'!$Y124="Ready",'MASTER_QUEUE'!H124,"")</x:f>
      </x:c>
    </x:row>
    <x:row r="125" ht="22" customHeight="1">
      <x:c r="A125" s="30" t="str">
        <x:f>IF('MASTER_QUEUE'!$Y125="Ready",'MASTER_QUEUE'!A125,"")</x:f>
      </x:c>
      <x:c r="B125" s="30" t="str">
        <x:f>IF('MASTER_QUEUE'!$Y125="Ready",'MASTER_QUEUE'!B125,"")</x:f>
      </x:c>
      <x:c r="C125" s="30" t="str">
        <x:f>IF('MASTER_QUEUE'!$Y125="Ready",'MASTER_QUEUE'!C125,"")</x:f>
      </x:c>
      <x:c r="D125" s="30" t="str">
        <x:f>IF('MASTER_QUEUE'!$Y125="Ready",'MASTER_QUEUE'!D125,"")</x:f>
      </x:c>
      <x:c r="E125" s="30" t="str">
        <x:f>IF('MASTER_QUEUE'!$Y125="Ready",'MASTER_QUEUE'!E125,"")</x:f>
      </x:c>
      <x:c r="F125" s="30" t="str">
        <x:f>IF('MASTER_QUEUE'!$Y125="Ready",'MASTER_QUEUE'!F125,"")</x:f>
      </x:c>
      <x:c r="G125" s="30" t="str">
        <x:f>IF('MASTER_QUEUE'!$Y125="Ready",'MASTER_QUEUE'!G125,"")</x:f>
      </x:c>
      <x:c r="H125" s="99" t="str">
        <x:f>IF('MASTER_QUEUE'!$Y125="Ready",'MASTER_QUEUE'!H125,"")</x:f>
      </x:c>
    </x:row>
    <x:row r="126" ht="22" customHeight="1">
      <x:c r="A126" s="30" t="str">
        <x:f>IF('MASTER_QUEUE'!$Y126="Ready",'MASTER_QUEUE'!A126,"")</x:f>
      </x:c>
      <x:c r="B126" s="30" t="str">
        <x:f>IF('MASTER_QUEUE'!$Y126="Ready",'MASTER_QUEUE'!B126,"")</x:f>
      </x:c>
      <x:c r="C126" s="30" t="str">
        <x:f>IF('MASTER_QUEUE'!$Y126="Ready",'MASTER_QUEUE'!C126,"")</x:f>
      </x:c>
      <x:c r="D126" s="30" t="str">
        <x:f>IF('MASTER_QUEUE'!$Y126="Ready",'MASTER_QUEUE'!D126,"")</x:f>
      </x:c>
      <x:c r="E126" s="30" t="str">
        <x:f>IF('MASTER_QUEUE'!$Y126="Ready",'MASTER_QUEUE'!E126,"")</x:f>
      </x:c>
      <x:c r="F126" s="30" t="str">
        <x:f>IF('MASTER_QUEUE'!$Y126="Ready",'MASTER_QUEUE'!F126,"")</x:f>
      </x:c>
      <x:c r="G126" s="30" t="str">
        <x:f>IF('MASTER_QUEUE'!$Y126="Ready",'MASTER_QUEUE'!G126,"")</x:f>
      </x:c>
      <x:c r="H126" s="99" t="str">
        <x:f>IF('MASTER_QUEUE'!$Y126="Ready",'MASTER_QUEUE'!H126,"")</x:f>
      </x:c>
    </x:row>
    <x:row r="127" ht="22" customHeight="1">
      <x:c r="A127" s="30" t="str">
        <x:f>IF('MASTER_QUEUE'!$Y127="Ready",'MASTER_QUEUE'!A127,"")</x:f>
      </x:c>
      <x:c r="B127" s="30" t="str">
        <x:f>IF('MASTER_QUEUE'!$Y127="Ready",'MASTER_QUEUE'!B127,"")</x:f>
      </x:c>
      <x:c r="C127" s="30" t="str">
        <x:f>IF('MASTER_QUEUE'!$Y127="Ready",'MASTER_QUEUE'!C127,"")</x:f>
      </x:c>
      <x:c r="D127" s="30" t="str">
        <x:f>IF('MASTER_QUEUE'!$Y127="Ready",'MASTER_QUEUE'!D127,"")</x:f>
      </x:c>
      <x:c r="E127" s="30" t="str">
        <x:f>IF('MASTER_QUEUE'!$Y127="Ready",'MASTER_QUEUE'!E127,"")</x:f>
      </x:c>
      <x:c r="F127" s="30" t="str">
        <x:f>IF('MASTER_QUEUE'!$Y127="Ready",'MASTER_QUEUE'!F127,"")</x:f>
      </x:c>
      <x:c r="G127" s="30" t="str">
        <x:f>IF('MASTER_QUEUE'!$Y127="Ready",'MASTER_QUEUE'!G127,"")</x:f>
      </x:c>
      <x:c r="H127" s="99" t="str">
        <x:f>IF('MASTER_QUEUE'!$Y127="Ready",'MASTER_QUEUE'!H127,"")</x:f>
      </x:c>
    </x:row>
    <x:row r="128" ht="22" customHeight="1">
      <x:c r="A128" s="30" t="str">
        <x:f>IF('MASTER_QUEUE'!$Y128="Ready",'MASTER_QUEUE'!A128,"")</x:f>
      </x:c>
      <x:c r="B128" s="30" t="str">
        <x:f>IF('MASTER_QUEUE'!$Y128="Ready",'MASTER_QUEUE'!B128,"")</x:f>
      </x:c>
      <x:c r="C128" s="30" t="str">
        <x:f>IF('MASTER_QUEUE'!$Y128="Ready",'MASTER_QUEUE'!C128,"")</x:f>
      </x:c>
      <x:c r="D128" s="30" t="str">
        <x:f>IF('MASTER_QUEUE'!$Y128="Ready",'MASTER_QUEUE'!D128,"")</x:f>
      </x:c>
      <x:c r="E128" s="30" t="str">
        <x:f>IF('MASTER_QUEUE'!$Y128="Ready",'MASTER_QUEUE'!E128,"")</x:f>
      </x:c>
      <x:c r="F128" s="30" t="str">
        <x:f>IF('MASTER_QUEUE'!$Y128="Ready",'MASTER_QUEUE'!F128,"")</x:f>
      </x:c>
      <x:c r="G128" s="30" t="str">
        <x:f>IF('MASTER_QUEUE'!$Y128="Ready",'MASTER_QUEUE'!G128,"")</x:f>
      </x:c>
      <x:c r="H128" s="99" t="str">
        <x:f>IF('MASTER_QUEUE'!$Y128="Ready",'MASTER_QUEUE'!H128,"")</x:f>
      </x:c>
    </x:row>
    <x:row r="129" ht="22" customHeight="1">
      <x:c r="A129" s="30" t="str">
        <x:f>IF('MASTER_QUEUE'!$Y129="Ready",'MASTER_QUEUE'!A129,"")</x:f>
      </x:c>
      <x:c r="B129" s="30" t="str">
        <x:f>IF('MASTER_QUEUE'!$Y129="Ready",'MASTER_QUEUE'!B129,"")</x:f>
      </x:c>
      <x:c r="C129" s="30" t="str">
        <x:f>IF('MASTER_QUEUE'!$Y129="Ready",'MASTER_QUEUE'!C129,"")</x:f>
      </x:c>
      <x:c r="D129" s="30" t="str">
        <x:f>IF('MASTER_QUEUE'!$Y129="Ready",'MASTER_QUEUE'!D129,"")</x:f>
      </x:c>
      <x:c r="E129" s="30" t="str">
        <x:f>IF('MASTER_QUEUE'!$Y129="Ready",'MASTER_QUEUE'!E129,"")</x:f>
      </x:c>
      <x:c r="F129" s="30" t="str">
        <x:f>IF('MASTER_QUEUE'!$Y129="Ready",'MASTER_QUEUE'!F129,"")</x:f>
      </x:c>
      <x:c r="G129" s="30" t="str">
        <x:f>IF('MASTER_QUEUE'!$Y129="Ready",'MASTER_QUEUE'!G129,"")</x:f>
      </x:c>
      <x:c r="H129" s="99" t="str">
        <x:f>IF('MASTER_QUEUE'!$Y129="Ready",'MASTER_QUEUE'!H129,"")</x:f>
      </x:c>
    </x:row>
    <x:row r="130" ht="22" customHeight="1">
      <x:c r="A130" s="30" t="str">
        <x:f>IF('MASTER_QUEUE'!$Y130="Ready",'MASTER_QUEUE'!A130,"")</x:f>
      </x:c>
      <x:c r="B130" s="30" t="str">
        <x:f>IF('MASTER_QUEUE'!$Y130="Ready",'MASTER_QUEUE'!B130,"")</x:f>
      </x:c>
      <x:c r="C130" s="30" t="str">
        <x:f>IF('MASTER_QUEUE'!$Y130="Ready",'MASTER_QUEUE'!C130,"")</x:f>
      </x:c>
      <x:c r="D130" s="30" t="str">
        <x:f>IF('MASTER_QUEUE'!$Y130="Ready",'MASTER_QUEUE'!D130,"")</x:f>
      </x:c>
      <x:c r="E130" s="30" t="str">
        <x:f>IF('MASTER_QUEUE'!$Y130="Ready",'MASTER_QUEUE'!E130,"")</x:f>
      </x:c>
      <x:c r="F130" s="30" t="str">
        <x:f>IF('MASTER_QUEUE'!$Y130="Ready",'MASTER_QUEUE'!F130,"")</x:f>
      </x:c>
      <x:c r="G130" s="30" t="str">
        <x:f>IF('MASTER_QUEUE'!$Y130="Ready",'MASTER_QUEUE'!G130,"")</x:f>
      </x:c>
      <x:c r="H130" s="99" t="str">
        <x:f>IF('MASTER_QUEUE'!$Y130="Ready",'MASTER_QUEUE'!H130,"")</x:f>
      </x:c>
    </x:row>
    <x:row r="131" ht="22" customHeight="1">
      <x:c r="A131" s="30" t="str">
        <x:f>IF('MASTER_QUEUE'!$Y131="Ready",'MASTER_QUEUE'!A131,"")</x:f>
      </x:c>
      <x:c r="B131" s="30" t="str">
        <x:f>IF('MASTER_QUEUE'!$Y131="Ready",'MASTER_QUEUE'!B131,"")</x:f>
      </x:c>
      <x:c r="C131" s="30" t="str">
        <x:f>IF('MASTER_QUEUE'!$Y131="Ready",'MASTER_QUEUE'!C131,"")</x:f>
      </x:c>
      <x:c r="D131" s="30" t="str">
        <x:f>IF('MASTER_QUEUE'!$Y131="Ready",'MASTER_QUEUE'!D131,"")</x:f>
      </x:c>
      <x:c r="E131" s="30" t="str">
        <x:f>IF('MASTER_QUEUE'!$Y131="Ready",'MASTER_QUEUE'!E131,"")</x:f>
      </x:c>
      <x:c r="F131" s="30" t="str">
        <x:f>IF('MASTER_QUEUE'!$Y131="Ready",'MASTER_QUEUE'!F131,"")</x:f>
      </x:c>
      <x:c r="G131" s="30" t="str">
        <x:f>IF('MASTER_QUEUE'!$Y131="Ready",'MASTER_QUEUE'!G131,"")</x:f>
      </x:c>
      <x:c r="H131" s="99" t="str">
        <x:f>IF('MASTER_QUEUE'!$Y131="Ready",'MASTER_QUEUE'!H131,"")</x:f>
      </x:c>
    </x:row>
    <x:row r="132" ht="22" customHeight="1">
      <x:c r="A132" s="30" t="str">
        <x:f>IF('MASTER_QUEUE'!$Y132="Ready",'MASTER_QUEUE'!A132,"")</x:f>
      </x:c>
      <x:c r="B132" s="30" t="str">
        <x:f>IF('MASTER_QUEUE'!$Y132="Ready",'MASTER_QUEUE'!B132,"")</x:f>
      </x:c>
      <x:c r="C132" s="30" t="str">
        <x:f>IF('MASTER_QUEUE'!$Y132="Ready",'MASTER_QUEUE'!C132,"")</x:f>
      </x:c>
      <x:c r="D132" s="30" t="str">
        <x:f>IF('MASTER_QUEUE'!$Y132="Ready",'MASTER_QUEUE'!D132,"")</x:f>
      </x:c>
      <x:c r="E132" s="30" t="str">
        <x:f>IF('MASTER_QUEUE'!$Y132="Ready",'MASTER_QUEUE'!E132,"")</x:f>
      </x:c>
      <x:c r="F132" s="30" t="str">
        <x:f>IF('MASTER_QUEUE'!$Y132="Ready",'MASTER_QUEUE'!F132,"")</x:f>
      </x:c>
      <x:c r="G132" s="30" t="str">
        <x:f>IF('MASTER_QUEUE'!$Y132="Ready",'MASTER_QUEUE'!G132,"")</x:f>
      </x:c>
      <x:c r="H132" s="99" t="str">
        <x:f>IF('MASTER_QUEUE'!$Y132="Ready",'MASTER_QUEUE'!H132,"")</x:f>
      </x:c>
    </x:row>
    <x:row r="133" ht="22" customHeight="1">
      <x:c r="A133" s="30" t="str">
        <x:f>IF('MASTER_QUEUE'!$Y133="Ready",'MASTER_QUEUE'!A133,"")</x:f>
      </x:c>
      <x:c r="B133" s="30" t="str">
        <x:f>IF('MASTER_QUEUE'!$Y133="Ready",'MASTER_QUEUE'!B133,"")</x:f>
      </x:c>
      <x:c r="C133" s="30" t="str">
        <x:f>IF('MASTER_QUEUE'!$Y133="Ready",'MASTER_QUEUE'!C133,"")</x:f>
      </x:c>
      <x:c r="D133" s="30" t="str">
        <x:f>IF('MASTER_QUEUE'!$Y133="Ready",'MASTER_QUEUE'!D133,"")</x:f>
      </x:c>
      <x:c r="E133" s="30" t="str">
        <x:f>IF('MASTER_QUEUE'!$Y133="Ready",'MASTER_QUEUE'!E133,"")</x:f>
      </x:c>
      <x:c r="F133" s="30" t="str">
        <x:f>IF('MASTER_QUEUE'!$Y133="Ready",'MASTER_QUEUE'!F133,"")</x:f>
      </x:c>
      <x:c r="G133" s="30" t="str">
        <x:f>IF('MASTER_QUEUE'!$Y133="Ready",'MASTER_QUEUE'!G133,"")</x:f>
      </x:c>
      <x:c r="H133" s="99" t="str">
        <x:f>IF('MASTER_QUEUE'!$Y133="Ready",'MASTER_QUEUE'!H133,"")</x:f>
      </x:c>
    </x:row>
    <x:row r="134" ht="22" customHeight="1">
      <x:c r="A134" s="30" t="str">
        <x:f>IF('MASTER_QUEUE'!$Y134="Ready",'MASTER_QUEUE'!A134,"")</x:f>
      </x:c>
      <x:c r="B134" s="30" t="str">
        <x:f>IF('MASTER_QUEUE'!$Y134="Ready",'MASTER_QUEUE'!B134,"")</x:f>
      </x:c>
      <x:c r="C134" s="30" t="str">
        <x:f>IF('MASTER_QUEUE'!$Y134="Ready",'MASTER_QUEUE'!C134,"")</x:f>
      </x:c>
      <x:c r="D134" s="30" t="str">
        <x:f>IF('MASTER_QUEUE'!$Y134="Ready",'MASTER_QUEUE'!D134,"")</x:f>
      </x:c>
      <x:c r="E134" s="30" t="str">
        <x:f>IF('MASTER_QUEUE'!$Y134="Ready",'MASTER_QUEUE'!E134,"")</x:f>
      </x:c>
      <x:c r="F134" s="30" t="str">
        <x:f>IF('MASTER_QUEUE'!$Y134="Ready",'MASTER_QUEUE'!F134,"")</x:f>
      </x:c>
      <x:c r="G134" s="30" t="str">
        <x:f>IF('MASTER_QUEUE'!$Y134="Ready",'MASTER_QUEUE'!G134,"")</x:f>
      </x:c>
      <x:c r="H134" s="99" t="str">
        <x:f>IF('MASTER_QUEUE'!$Y134="Ready",'MASTER_QUEUE'!H134,"")</x:f>
      </x:c>
    </x:row>
    <x:row r="135" ht="22" customHeight="1">
      <x:c r="A135" s="30" t="str">
        <x:f>IF('MASTER_QUEUE'!$Y135="Ready",'MASTER_QUEUE'!A135,"")</x:f>
      </x:c>
      <x:c r="B135" s="30" t="str">
        <x:f>IF('MASTER_QUEUE'!$Y135="Ready",'MASTER_QUEUE'!B135,"")</x:f>
      </x:c>
      <x:c r="C135" s="30" t="str">
        <x:f>IF('MASTER_QUEUE'!$Y135="Ready",'MASTER_QUEUE'!C135,"")</x:f>
      </x:c>
      <x:c r="D135" s="30" t="str">
        <x:f>IF('MASTER_QUEUE'!$Y135="Ready",'MASTER_QUEUE'!D135,"")</x:f>
      </x:c>
      <x:c r="E135" s="30" t="str">
        <x:f>IF('MASTER_QUEUE'!$Y135="Ready",'MASTER_QUEUE'!E135,"")</x:f>
      </x:c>
      <x:c r="F135" s="30" t="str">
        <x:f>IF('MASTER_QUEUE'!$Y135="Ready",'MASTER_QUEUE'!F135,"")</x:f>
      </x:c>
      <x:c r="G135" s="30" t="str">
        <x:f>IF('MASTER_QUEUE'!$Y135="Ready",'MASTER_QUEUE'!G135,"")</x:f>
      </x:c>
      <x:c r="H135" s="99" t="str">
        <x:f>IF('MASTER_QUEUE'!$Y135="Ready",'MASTER_QUEUE'!H135,"")</x:f>
      </x:c>
    </x:row>
    <x:row r="136" ht="22" customHeight="1">
      <x:c r="A136" s="30" t="str">
        <x:f>IF('MASTER_QUEUE'!$Y136="Ready",'MASTER_QUEUE'!A136,"")</x:f>
      </x:c>
      <x:c r="B136" s="30" t="str">
        <x:f>IF('MASTER_QUEUE'!$Y136="Ready",'MASTER_QUEUE'!B136,"")</x:f>
      </x:c>
      <x:c r="C136" s="30" t="str">
        <x:f>IF('MASTER_QUEUE'!$Y136="Ready",'MASTER_QUEUE'!C136,"")</x:f>
      </x:c>
      <x:c r="D136" s="30" t="str">
        <x:f>IF('MASTER_QUEUE'!$Y136="Ready",'MASTER_QUEUE'!D136,"")</x:f>
      </x:c>
      <x:c r="E136" s="30" t="str">
        <x:f>IF('MASTER_QUEUE'!$Y136="Ready",'MASTER_QUEUE'!E136,"")</x:f>
      </x:c>
      <x:c r="F136" s="30" t="str">
        <x:f>IF('MASTER_QUEUE'!$Y136="Ready",'MASTER_QUEUE'!F136,"")</x:f>
      </x:c>
      <x:c r="G136" s="30" t="str">
        <x:f>IF('MASTER_QUEUE'!$Y136="Ready",'MASTER_QUEUE'!G136,"")</x:f>
      </x:c>
      <x:c r="H136" s="99" t="str">
        <x:f>IF('MASTER_QUEUE'!$Y136="Ready",'MASTER_QUEUE'!H136,"")</x:f>
      </x:c>
    </x:row>
    <x:row r="137" ht="22" customHeight="1">
      <x:c r="A137" s="30" t="str">
        <x:f>IF('MASTER_QUEUE'!$Y137="Ready",'MASTER_QUEUE'!A137,"")</x:f>
      </x:c>
      <x:c r="B137" s="30" t="str">
        <x:f>IF('MASTER_QUEUE'!$Y137="Ready",'MASTER_QUEUE'!B137,"")</x:f>
      </x:c>
      <x:c r="C137" s="30" t="str">
        <x:f>IF('MASTER_QUEUE'!$Y137="Ready",'MASTER_QUEUE'!C137,"")</x:f>
      </x:c>
      <x:c r="D137" s="30" t="str">
        <x:f>IF('MASTER_QUEUE'!$Y137="Ready",'MASTER_QUEUE'!D137,"")</x:f>
      </x:c>
      <x:c r="E137" s="30" t="str">
        <x:f>IF('MASTER_QUEUE'!$Y137="Ready",'MASTER_QUEUE'!E137,"")</x:f>
      </x:c>
      <x:c r="F137" s="30" t="str">
        <x:f>IF('MASTER_QUEUE'!$Y137="Ready",'MASTER_QUEUE'!F137,"")</x:f>
      </x:c>
      <x:c r="G137" s="30" t="str">
        <x:f>IF('MASTER_QUEUE'!$Y137="Ready",'MASTER_QUEUE'!G137,"")</x:f>
      </x:c>
      <x:c r="H137" s="99" t="str">
        <x:f>IF('MASTER_QUEUE'!$Y137="Ready",'MASTER_QUEUE'!H137,"")</x:f>
      </x:c>
    </x:row>
    <x:row r="138" ht="22" customHeight="1">
      <x:c r="A138" s="30" t="str">
        <x:f>IF('MASTER_QUEUE'!$Y138="Ready",'MASTER_QUEUE'!A138,"")</x:f>
      </x:c>
      <x:c r="B138" s="30" t="str">
        <x:f>IF('MASTER_QUEUE'!$Y138="Ready",'MASTER_QUEUE'!B138,"")</x:f>
      </x:c>
      <x:c r="C138" s="30" t="str">
        <x:f>IF('MASTER_QUEUE'!$Y138="Ready",'MASTER_QUEUE'!C138,"")</x:f>
      </x:c>
      <x:c r="D138" s="30" t="str">
        <x:f>IF('MASTER_QUEUE'!$Y138="Ready",'MASTER_QUEUE'!D138,"")</x:f>
      </x:c>
      <x:c r="E138" s="30" t="str">
        <x:f>IF('MASTER_QUEUE'!$Y138="Ready",'MASTER_QUEUE'!E138,"")</x:f>
      </x:c>
      <x:c r="F138" s="30" t="str">
        <x:f>IF('MASTER_QUEUE'!$Y138="Ready",'MASTER_QUEUE'!F138,"")</x:f>
      </x:c>
      <x:c r="G138" s="30" t="str">
        <x:f>IF('MASTER_QUEUE'!$Y138="Ready",'MASTER_QUEUE'!G138,"")</x:f>
      </x:c>
      <x:c r="H138" s="99" t="str">
        <x:f>IF('MASTER_QUEUE'!$Y138="Ready",'MASTER_QUEUE'!H138,"")</x:f>
      </x:c>
    </x:row>
    <x:row r="139" ht="22" customHeight="1">
      <x:c r="A139" s="30" t="str">
        <x:f>IF('MASTER_QUEUE'!$Y139="Ready",'MASTER_QUEUE'!A139,"")</x:f>
      </x:c>
      <x:c r="B139" s="30" t="str">
        <x:f>IF('MASTER_QUEUE'!$Y139="Ready",'MASTER_QUEUE'!B139,"")</x:f>
      </x:c>
      <x:c r="C139" s="30" t="str">
        <x:f>IF('MASTER_QUEUE'!$Y139="Ready",'MASTER_QUEUE'!C139,"")</x:f>
      </x:c>
      <x:c r="D139" s="30" t="str">
        <x:f>IF('MASTER_QUEUE'!$Y139="Ready",'MASTER_QUEUE'!D139,"")</x:f>
      </x:c>
      <x:c r="E139" s="30" t="str">
        <x:f>IF('MASTER_QUEUE'!$Y139="Ready",'MASTER_QUEUE'!E139,"")</x:f>
      </x:c>
      <x:c r="F139" s="30" t="str">
        <x:f>IF('MASTER_QUEUE'!$Y139="Ready",'MASTER_QUEUE'!F139,"")</x:f>
      </x:c>
      <x:c r="G139" s="30" t="str">
        <x:f>IF('MASTER_QUEUE'!$Y139="Ready",'MASTER_QUEUE'!G139,"")</x:f>
      </x:c>
      <x:c r="H139" s="99" t="str">
        <x:f>IF('MASTER_QUEUE'!$Y139="Ready",'MASTER_QUEUE'!H139,"")</x:f>
      </x:c>
    </x:row>
    <x:row r="140" ht="22" customHeight="1">
      <x:c r="A140" s="30" t="str">
        <x:f>IF('MASTER_QUEUE'!$Y140="Ready",'MASTER_QUEUE'!A140,"")</x:f>
      </x:c>
      <x:c r="B140" s="30" t="str">
        <x:f>IF('MASTER_QUEUE'!$Y140="Ready",'MASTER_QUEUE'!B140,"")</x:f>
      </x:c>
      <x:c r="C140" s="30" t="str">
        <x:f>IF('MASTER_QUEUE'!$Y140="Ready",'MASTER_QUEUE'!C140,"")</x:f>
      </x:c>
      <x:c r="D140" s="30" t="str">
        <x:f>IF('MASTER_QUEUE'!$Y140="Ready",'MASTER_QUEUE'!D140,"")</x:f>
      </x:c>
      <x:c r="E140" s="30" t="str">
        <x:f>IF('MASTER_QUEUE'!$Y140="Ready",'MASTER_QUEUE'!E140,"")</x:f>
      </x:c>
      <x:c r="F140" s="30" t="str">
        <x:f>IF('MASTER_QUEUE'!$Y140="Ready",'MASTER_QUEUE'!F140,"")</x:f>
      </x:c>
      <x:c r="G140" s="30" t="str">
        <x:f>IF('MASTER_QUEUE'!$Y140="Ready",'MASTER_QUEUE'!G140,"")</x:f>
      </x:c>
      <x:c r="H140" s="99" t="str">
        <x:f>IF('MASTER_QUEUE'!$Y140="Ready",'MASTER_QUEUE'!H140,"")</x:f>
      </x:c>
    </x:row>
    <x:row r="141" ht="22" customHeight="1">
      <x:c r="A141" s="30" t="str">
        <x:f>IF('MASTER_QUEUE'!$Y141="Ready",'MASTER_QUEUE'!A141,"")</x:f>
      </x:c>
      <x:c r="B141" s="30" t="str">
        <x:f>IF('MASTER_QUEUE'!$Y141="Ready",'MASTER_QUEUE'!B141,"")</x:f>
      </x:c>
      <x:c r="C141" s="30" t="str">
        <x:f>IF('MASTER_QUEUE'!$Y141="Ready",'MASTER_QUEUE'!C141,"")</x:f>
      </x:c>
      <x:c r="D141" s="30" t="str">
        <x:f>IF('MASTER_QUEUE'!$Y141="Ready",'MASTER_QUEUE'!D141,"")</x:f>
      </x:c>
      <x:c r="E141" s="30" t="str">
        <x:f>IF('MASTER_QUEUE'!$Y141="Ready",'MASTER_QUEUE'!E141,"")</x:f>
      </x:c>
      <x:c r="F141" s="30" t="str">
        <x:f>IF('MASTER_QUEUE'!$Y141="Ready",'MASTER_QUEUE'!F141,"")</x:f>
      </x:c>
      <x:c r="G141" s="30" t="str">
        <x:f>IF('MASTER_QUEUE'!$Y141="Ready",'MASTER_QUEUE'!G141,"")</x:f>
      </x:c>
      <x:c r="H141" s="99" t="str">
        <x:f>IF('MASTER_QUEUE'!$Y141="Ready",'MASTER_QUEUE'!H141,"")</x:f>
      </x:c>
    </x:row>
    <x:row r="142" ht="22" customHeight="1">
      <x:c r="A142" s="30" t="str">
        <x:f>IF('MASTER_QUEUE'!$Y142="Ready",'MASTER_QUEUE'!A142,"")</x:f>
      </x:c>
      <x:c r="B142" s="30" t="str">
        <x:f>IF('MASTER_QUEUE'!$Y142="Ready",'MASTER_QUEUE'!B142,"")</x:f>
      </x:c>
      <x:c r="C142" s="30" t="str">
        <x:f>IF('MASTER_QUEUE'!$Y142="Ready",'MASTER_QUEUE'!C142,"")</x:f>
      </x:c>
      <x:c r="D142" s="30" t="str">
        <x:f>IF('MASTER_QUEUE'!$Y142="Ready",'MASTER_QUEUE'!D142,"")</x:f>
      </x:c>
      <x:c r="E142" s="30" t="str">
        <x:f>IF('MASTER_QUEUE'!$Y142="Ready",'MASTER_QUEUE'!E142,"")</x:f>
      </x:c>
      <x:c r="F142" s="30" t="str">
        <x:f>IF('MASTER_QUEUE'!$Y142="Ready",'MASTER_QUEUE'!F142,"")</x:f>
      </x:c>
      <x:c r="G142" s="30" t="str">
        <x:f>IF('MASTER_QUEUE'!$Y142="Ready",'MASTER_QUEUE'!G142,"")</x:f>
      </x:c>
      <x:c r="H142" s="99" t="str">
        <x:f>IF('MASTER_QUEUE'!$Y142="Ready",'MASTER_QUEUE'!H142,"")</x:f>
      </x:c>
    </x:row>
    <x:row r="143" ht="22" customHeight="1">
      <x:c r="A143" s="30" t="str">
        <x:f>IF('MASTER_QUEUE'!$Y143="Ready",'MASTER_QUEUE'!A143,"")</x:f>
      </x:c>
      <x:c r="B143" s="30" t="str">
        <x:f>IF('MASTER_QUEUE'!$Y143="Ready",'MASTER_QUEUE'!B143,"")</x:f>
      </x:c>
      <x:c r="C143" s="30" t="str">
        <x:f>IF('MASTER_QUEUE'!$Y143="Ready",'MASTER_QUEUE'!C143,"")</x:f>
      </x:c>
      <x:c r="D143" s="30" t="str">
        <x:f>IF('MASTER_QUEUE'!$Y143="Ready",'MASTER_QUEUE'!D143,"")</x:f>
      </x:c>
      <x:c r="E143" s="30" t="str">
        <x:f>IF('MASTER_QUEUE'!$Y143="Ready",'MASTER_QUEUE'!E143,"")</x:f>
      </x:c>
      <x:c r="F143" s="30" t="str">
        <x:f>IF('MASTER_QUEUE'!$Y143="Ready",'MASTER_QUEUE'!F143,"")</x:f>
      </x:c>
      <x:c r="G143" s="30" t="str">
        <x:f>IF('MASTER_QUEUE'!$Y143="Ready",'MASTER_QUEUE'!G143,"")</x:f>
      </x:c>
      <x:c r="H143" s="99" t="str">
        <x:f>IF('MASTER_QUEUE'!$Y143="Ready",'MASTER_QUEUE'!H143,"")</x:f>
      </x:c>
    </x:row>
    <x:row r="144" ht="22" customHeight="1">
      <x:c r="A144" s="30" t="str">
        <x:f>IF('MASTER_QUEUE'!$Y144="Ready",'MASTER_QUEUE'!A144,"")</x:f>
      </x:c>
      <x:c r="B144" s="30" t="str">
        <x:f>IF('MASTER_QUEUE'!$Y144="Ready",'MASTER_QUEUE'!B144,"")</x:f>
      </x:c>
      <x:c r="C144" s="30" t="str">
        <x:f>IF('MASTER_QUEUE'!$Y144="Ready",'MASTER_QUEUE'!C144,"")</x:f>
      </x:c>
      <x:c r="D144" s="30" t="str">
        <x:f>IF('MASTER_QUEUE'!$Y144="Ready",'MASTER_QUEUE'!D144,"")</x:f>
      </x:c>
      <x:c r="E144" s="30" t="str">
        <x:f>IF('MASTER_QUEUE'!$Y144="Ready",'MASTER_QUEUE'!E144,"")</x:f>
      </x:c>
      <x:c r="F144" s="30" t="str">
        <x:f>IF('MASTER_QUEUE'!$Y144="Ready",'MASTER_QUEUE'!F144,"")</x:f>
      </x:c>
      <x:c r="G144" s="30" t="str">
        <x:f>IF('MASTER_QUEUE'!$Y144="Ready",'MASTER_QUEUE'!G144,"")</x:f>
      </x:c>
      <x:c r="H144" s="99" t="str">
        <x:f>IF('MASTER_QUEUE'!$Y144="Ready",'MASTER_QUEUE'!H144,"")</x:f>
      </x:c>
    </x:row>
    <x:row r="145" ht="22" customHeight="1">
      <x:c r="A145" s="30" t="str">
        <x:f>IF('MASTER_QUEUE'!$Y145="Ready",'MASTER_QUEUE'!A145,"")</x:f>
      </x:c>
      <x:c r="B145" s="30" t="str">
        <x:f>IF('MASTER_QUEUE'!$Y145="Ready",'MASTER_QUEUE'!B145,"")</x:f>
      </x:c>
      <x:c r="C145" s="30" t="str">
        <x:f>IF('MASTER_QUEUE'!$Y145="Ready",'MASTER_QUEUE'!C145,"")</x:f>
      </x:c>
      <x:c r="D145" s="30" t="str">
        <x:f>IF('MASTER_QUEUE'!$Y145="Ready",'MASTER_QUEUE'!D145,"")</x:f>
      </x:c>
      <x:c r="E145" s="30" t="str">
        <x:f>IF('MASTER_QUEUE'!$Y145="Ready",'MASTER_QUEUE'!E145,"")</x:f>
      </x:c>
      <x:c r="F145" s="30" t="str">
        <x:f>IF('MASTER_QUEUE'!$Y145="Ready",'MASTER_QUEUE'!F145,"")</x:f>
      </x:c>
      <x:c r="G145" s="30" t="str">
        <x:f>IF('MASTER_QUEUE'!$Y145="Ready",'MASTER_QUEUE'!G145,"")</x:f>
      </x:c>
      <x:c r="H145" s="99" t="str">
        <x:f>IF('MASTER_QUEUE'!$Y145="Ready",'MASTER_QUEUE'!H145,"")</x:f>
      </x:c>
    </x:row>
    <x:row r="146" ht="22" customHeight="1">
      <x:c r="A146" s="30" t="str">
        <x:f>IF('MASTER_QUEUE'!$Y146="Ready",'MASTER_QUEUE'!A146,"")</x:f>
      </x:c>
      <x:c r="B146" s="30" t="str">
        <x:f>IF('MASTER_QUEUE'!$Y146="Ready",'MASTER_QUEUE'!B146,"")</x:f>
      </x:c>
      <x:c r="C146" s="30" t="str">
        <x:f>IF('MASTER_QUEUE'!$Y146="Ready",'MASTER_QUEUE'!C146,"")</x:f>
      </x:c>
      <x:c r="D146" s="30" t="str">
        <x:f>IF('MASTER_QUEUE'!$Y146="Ready",'MASTER_QUEUE'!D146,"")</x:f>
      </x:c>
      <x:c r="E146" s="30" t="str">
        <x:f>IF('MASTER_QUEUE'!$Y146="Ready",'MASTER_QUEUE'!E146,"")</x:f>
      </x:c>
      <x:c r="F146" s="30" t="str">
        <x:f>IF('MASTER_QUEUE'!$Y146="Ready",'MASTER_QUEUE'!F146,"")</x:f>
      </x:c>
      <x:c r="G146" s="30" t="str">
        <x:f>IF('MASTER_QUEUE'!$Y146="Ready",'MASTER_QUEUE'!G146,"")</x:f>
      </x:c>
      <x:c r="H146" s="99" t="str">
        <x:f>IF('MASTER_QUEUE'!$Y146="Ready",'MASTER_QUEUE'!H146,"")</x:f>
      </x:c>
    </x:row>
    <x:row r="147" ht="22" customHeight="1">
      <x:c r="A147" s="30" t="str">
        <x:f>IF('MASTER_QUEUE'!$Y147="Ready",'MASTER_QUEUE'!A147,"")</x:f>
      </x:c>
      <x:c r="B147" s="30" t="str">
        <x:f>IF('MASTER_QUEUE'!$Y147="Ready",'MASTER_QUEUE'!B147,"")</x:f>
      </x:c>
      <x:c r="C147" s="30" t="str">
        <x:f>IF('MASTER_QUEUE'!$Y147="Ready",'MASTER_QUEUE'!C147,"")</x:f>
      </x:c>
      <x:c r="D147" s="30" t="str">
        <x:f>IF('MASTER_QUEUE'!$Y147="Ready",'MASTER_QUEUE'!D147,"")</x:f>
      </x:c>
      <x:c r="E147" s="30" t="str">
        <x:f>IF('MASTER_QUEUE'!$Y147="Ready",'MASTER_QUEUE'!E147,"")</x:f>
      </x:c>
      <x:c r="F147" s="30" t="str">
        <x:f>IF('MASTER_QUEUE'!$Y147="Ready",'MASTER_QUEUE'!F147,"")</x:f>
      </x:c>
      <x:c r="G147" s="30" t="str">
        <x:f>IF('MASTER_QUEUE'!$Y147="Ready",'MASTER_QUEUE'!G147,"")</x:f>
      </x:c>
      <x:c r="H147" s="99" t="str">
        <x:f>IF('MASTER_QUEUE'!$Y147="Ready",'MASTER_QUEUE'!H147,"")</x:f>
      </x:c>
    </x:row>
    <x:row r="148" ht="22" customHeight="1">
      <x:c r="A148" s="30" t="str">
        <x:f>IF('MASTER_QUEUE'!$Y148="Ready",'MASTER_QUEUE'!A148,"")</x:f>
      </x:c>
      <x:c r="B148" s="30" t="str">
        <x:f>IF('MASTER_QUEUE'!$Y148="Ready",'MASTER_QUEUE'!B148,"")</x:f>
      </x:c>
      <x:c r="C148" s="30" t="str">
        <x:f>IF('MASTER_QUEUE'!$Y148="Ready",'MASTER_QUEUE'!C148,"")</x:f>
      </x:c>
      <x:c r="D148" s="30" t="str">
        <x:f>IF('MASTER_QUEUE'!$Y148="Ready",'MASTER_QUEUE'!D148,"")</x:f>
      </x:c>
      <x:c r="E148" s="30" t="str">
        <x:f>IF('MASTER_QUEUE'!$Y148="Ready",'MASTER_QUEUE'!E148,"")</x:f>
      </x:c>
      <x:c r="F148" s="30" t="str">
        <x:f>IF('MASTER_QUEUE'!$Y148="Ready",'MASTER_QUEUE'!F148,"")</x:f>
      </x:c>
      <x:c r="G148" s="30" t="str">
        <x:f>IF('MASTER_QUEUE'!$Y148="Ready",'MASTER_QUEUE'!G148,"")</x:f>
      </x:c>
      <x:c r="H148" s="99" t="str">
        <x:f>IF('MASTER_QUEUE'!$Y148="Ready",'MASTER_QUEUE'!H148,"")</x:f>
      </x:c>
    </x:row>
    <x:row r="149" ht="22" customHeight="1">
      <x:c r="A149" s="30" t="str">
        <x:f>IF('MASTER_QUEUE'!$Y149="Ready",'MASTER_QUEUE'!A149,"")</x:f>
      </x:c>
      <x:c r="B149" s="30" t="str">
        <x:f>IF('MASTER_QUEUE'!$Y149="Ready",'MASTER_QUEUE'!B149,"")</x:f>
      </x:c>
      <x:c r="C149" s="30" t="str">
        <x:f>IF('MASTER_QUEUE'!$Y149="Ready",'MASTER_QUEUE'!C149,"")</x:f>
      </x:c>
      <x:c r="D149" s="30" t="str">
        <x:f>IF('MASTER_QUEUE'!$Y149="Ready",'MASTER_QUEUE'!D149,"")</x:f>
      </x:c>
      <x:c r="E149" s="30" t="str">
        <x:f>IF('MASTER_QUEUE'!$Y149="Ready",'MASTER_QUEUE'!E149,"")</x:f>
      </x:c>
      <x:c r="F149" s="30" t="str">
        <x:f>IF('MASTER_QUEUE'!$Y149="Ready",'MASTER_QUEUE'!F149,"")</x:f>
      </x:c>
      <x:c r="G149" s="30" t="str">
        <x:f>IF('MASTER_QUEUE'!$Y149="Ready",'MASTER_QUEUE'!G149,"")</x:f>
      </x:c>
      <x:c r="H149" s="99" t="str">
        <x:f>IF('MASTER_QUEUE'!$Y149="Ready",'MASTER_QUEUE'!H149,"")</x:f>
      </x:c>
    </x:row>
    <x:row r="150" ht="22" customHeight="1">
      <x:c r="A150" s="30" t="str">
        <x:f>IF('MASTER_QUEUE'!$Y150="Ready",'MASTER_QUEUE'!A150,"")</x:f>
      </x:c>
      <x:c r="B150" s="30" t="str">
        <x:f>IF('MASTER_QUEUE'!$Y150="Ready",'MASTER_QUEUE'!B150,"")</x:f>
      </x:c>
      <x:c r="C150" s="30" t="str">
        <x:f>IF('MASTER_QUEUE'!$Y150="Ready",'MASTER_QUEUE'!C150,"")</x:f>
      </x:c>
      <x:c r="D150" s="30" t="str">
        <x:f>IF('MASTER_QUEUE'!$Y150="Ready",'MASTER_QUEUE'!D150,"")</x:f>
      </x:c>
      <x:c r="E150" s="30" t="str">
        <x:f>IF('MASTER_QUEUE'!$Y150="Ready",'MASTER_QUEUE'!E150,"")</x:f>
      </x:c>
      <x:c r="F150" s="30" t="str">
        <x:f>IF('MASTER_QUEUE'!$Y150="Ready",'MASTER_QUEUE'!F150,"")</x:f>
      </x:c>
      <x:c r="G150" s="30" t="str">
        <x:f>IF('MASTER_QUEUE'!$Y150="Ready",'MASTER_QUEUE'!G150,"")</x:f>
      </x:c>
      <x:c r="H150" s="99" t="str">
        <x:f>IF('MASTER_QUEUE'!$Y150="Ready",'MASTER_QUEUE'!H150,"")</x:f>
      </x:c>
    </x:row>
    <x:row r="151" ht="22" customHeight="1">
      <x:c r="A151" s="30" t="str">
        <x:f>IF('MASTER_QUEUE'!$Y151="Ready",'MASTER_QUEUE'!A151,"")</x:f>
      </x:c>
      <x:c r="B151" s="30" t="str">
        <x:f>IF('MASTER_QUEUE'!$Y151="Ready",'MASTER_QUEUE'!B151,"")</x:f>
      </x:c>
      <x:c r="C151" s="30" t="str">
        <x:f>IF('MASTER_QUEUE'!$Y151="Ready",'MASTER_QUEUE'!C151,"")</x:f>
      </x:c>
      <x:c r="D151" s="30" t="str">
        <x:f>IF('MASTER_QUEUE'!$Y151="Ready",'MASTER_QUEUE'!D151,"")</x:f>
      </x:c>
      <x:c r="E151" s="30" t="str">
        <x:f>IF('MASTER_QUEUE'!$Y151="Ready",'MASTER_QUEUE'!E151,"")</x:f>
      </x:c>
      <x:c r="F151" s="30" t="str">
        <x:f>IF('MASTER_QUEUE'!$Y151="Ready",'MASTER_QUEUE'!F151,"")</x:f>
      </x:c>
      <x:c r="G151" s="30" t="str">
        <x:f>IF('MASTER_QUEUE'!$Y151="Ready",'MASTER_QUEUE'!G151,"")</x:f>
      </x:c>
      <x:c r="H151" s="99" t="str">
        <x:f>IF('MASTER_QUEUE'!$Y151="Ready",'MASTER_QUEUE'!H151,"")</x:f>
      </x:c>
    </x:row>
    <x:row r="152" ht="22" customHeight="1">
      <x:c r="A152" s="30" t="str">
        <x:f>IF('MASTER_QUEUE'!$Y152="Ready",'MASTER_QUEUE'!A152,"")</x:f>
      </x:c>
      <x:c r="B152" s="30" t="str">
        <x:f>IF('MASTER_QUEUE'!$Y152="Ready",'MASTER_QUEUE'!B152,"")</x:f>
      </x:c>
      <x:c r="C152" s="30" t="str">
        <x:f>IF('MASTER_QUEUE'!$Y152="Ready",'MASTER_QUEUE'!C152,"")</x:f>
      </x:c>
      <x:c r="D152" s="30" t="str">
        <x:f>IF('MASTER_QUEUE'!$Y152="Ready",'MASTER_QUEUE'!D152,"")</x:f>
      </x:c>
      <x:c r="E152" s="30" t="str">
        <x:f>IF('MASTER_QUEUE'!$Y152="Ready",'MASTER_QUEUE'!E152,"")</x:f>
      </x:c>
      <x:c r="F152" s="30" t="str">
        <x:f>IF('MASTER_QUEUE'!$Y152="Ready",'MASTER_QUEUE'!F152,"")</x:f>
      </x:c>
      <x:c r="G152" s="30" t="str">
        <x:f>IF('MASTER_QUEUE'!$Y152="Ready",'MASTER_QUEUE'!G152,"")</x:f>
      </x:c>
      <x:c r="H152" s="99" t="str">
        <x:f>IF('MASTER_QUEUE'!$Y152="Ready",'MASTER_QUEUE'!H152,"")</x:f>
      </x:c>
    </x:row>
    <x:row r="153" ht="22" customHeight="1">
      <x:c r="A153" s="30" t="str">
        <x:f>IF('MASTER_QUEUE'!$Y153="Ready",'MASTER_QUEUE'!A153,"")</x:f>
      </x:c>
      <x:c r="B153" s="30" t="str">
        <x:f>IF('MASTER_QUEUE'!$Y153="Ready",'MASTER_QUEUE'!B153,"")</x:f>
      </x:c>
      <x:c r="C153" s="30" t="str">
        <x:f>IF('MASTER_QUEUE'!$Y153="Ready",'MASTER_QUEUE'!C153,"")</x:f>
      </x:c>
      <x:c r="D153" s="30" t="str">
        <x:f>IF('MASTER_QUEUE'!$Y153="Ready",'MASTER_QUEUE'!D153,"")</x:f>
      </x:c>
      <x:c r="E153" s="30" t="str">
        <x:f>IF('MASTER_QUEUE'!$Y153="Ready",'MASTER_QUEUE'!E153,"")</x:f>
      </x:c>
      <x:c r="F153" s="30" t="str">
        <x:f>IF('MASTER_QUEUE'!$Y153="Ready",'MASTER_QUEUE'!F153,"")</x:f>
      </x:c>
      <x:c r="G153" s="30" t="str">
        <x:f>IF('MASTER_QUEUE'!$Y153="Ready",'MASTER_QUEUE'!G153,"")</x:f>
      </x:c>
      <x:c r="H153" s="99" t="str">
        <x:f>IF('MASTER_QUEUE'!$Y153="Ready",'MASTER_QUEUE'!H153,"")</x:f>
      </x:c>
    </x:row>
    <x:row r="154" ht="22" customHeight="1">
      <x:c r="A154" s="30" t="str">
        <x:f>IF('MASTER_QUEUE'!$Y154="Ready",'MASTER_QUEUE'!A154,"")</x:f>
      </x:c>
      <x:c r="B154" s="30" t="str">
        <x:f>IF('MASTER_QUEUE'!$Y154="Ready",'MASTER_QUEUE'!B154,"")</x:f>
      </x:c>
      <x:c r="C154" s="30" t="str">
        <x:f>IF('MASTER_QUEUE'!$Y154="Ready",'MASTER_QUEUE'!C154,"")</x:f>
      </x:c>
      <x:c r="D154" s="30" t="str">
        <x:f>IF('MASTER_QUEUE'!$Y154="Ready",'MASTER_QUEUE'!D154,"")</x:f>
      </x:c>
      <x:c r="E154" s="30" t="str">
        <x:f>IF('MASTER_QUEUE'!$Y154="Ready",'MASTER_QUEUE'!E154,"")</x:f>
      </x:c>
      <x:c r="F154" s="30" t="str">
        <x:f>IF('MASTER_QUEUE'!$Y154="Ready",'MASTER_QUEUE'!F154,"")</x:f>
      </x:c>
      <x:c r="G154" s="30" t="str">
        <x:f>IF('MASTER_QUEUE'!$Y154="Ready",'MASTER_QUEUE'!G154,"")</x:f>
      </x:c>
      <x:c r="H154" s="99" t="str">
        <x:f>IF('MASTER_QUEUE'!$Y154="Ready",'MASTER_QUEUE'!H154,"")</x:f>
      </x:c>
    </x:row>
    <x:row r="155" ht="22" customHeight="1">
      <x:c r="A155" s="30" t="str">
        <x:f>IF('MASTER_QUEUE'!$Y155="Ready",'MASTER_QUEUE'!A155,"")</x:f>
      </x:c>
      <x:c r="B155" s="30" t="str">
        <x:f>IF('MASTER_QUEUE'!$Y155="Ready",'MASTER_QUEUE'!B155,"")</x:f>
      </x:c>
      <x:c r="C155" s="30" t="str">
        <x:f>IF('MASTER_QUEUE'!$Y155="Ready",'MASTER_QUEUE'!C155,"")</x:f>
      </x:c>
      <x:c r="D155" s="30" t="str">
        <x:f>IF('MASTER_QUEUE'!$Y155="Ready",'MASTER_QUEUE'!D155,"")</x:f>
      </x:c>
      <x:c r="E155" s="30" t="str">
        <x:f>IF('MASTER_QUEUE'!$Y155="Ready",'MASTER_QUEUE'!E155,"")</x:f>
      </x:c>
      <x:c r="F155" s="30" t="str">
        <x:f>IF('MASTER_QUEUE'!$Y155="Ready",'MASTER_QUEUE'!F155,"")</x:f>
      </x:c>
      <x:c r="G155" s="30" t="str">
        <x:f>IF('MASTER_QUEUE'!$Y155="Ready",'MASTER_QUEUE'!G155,"")</x:f>
      </x:c>
      <x:c r="H155" s="99" t="str">
        <x:f>IF('MASTER_QUEUE'!$Y155="Ready",'MASTER_QUEUE'!H155,"")</x:f>
      </x:c>
    </x:row>
    <x:row r="156" ht="22" customHeight="1">
      <x:c r="A156" s="30" t="str">
        <x:f>IF('MASTER_QUEUE'!$Y156="Ready",'MASTER_QUEUE'!A156,"")</x:f>
      </x:c>
      <x:c r="B156" s="30" t="str">
        <x:f>IF('MASTER_QUEUE'!$Y156="Ready",'MASTER_QUEUE'!B156,"")</x:f>
      </x:c>
      <x:c r="C156" s="30" t="str">
        <x:f>IF('MASTER_QUEUE'!$Y156="Ready",'MASTER_QUEUE'!C156,"")</x:f>
      </x:c>
      <x:c r="D156" s="30" t="str">
        <x:f>IF('MASTER_QUEUE'!$Y156="Ready",'MASTER_QUEUE'!D156,"")</x:f>
      </x:c>
      <x:c r="E156" s="30" t="str">
        <x:f>IF('MASTER_QUEUE'!$Y156="Ready",'MASTER_QUEUE'!E156,"")</x:f>
      </x:c>
      <x:c r="F156" s="30" t="str">
        <x:f>IF('MASTER_QUEUE'!$Y156="Ready",'MASTER_QUEUE'!F156,"")</x:f>
      </x:c>
      <x:c r="G156" s="30" t="str">
        <x:f>IF('MASTER_QUEUE'!$Y156="Ready",'MASTER_QUEUE'!G156,"")</x:f>
      </x:c>
      <x:c r="H156" s="99" t="str">
        <x:f>IF('MASTER_QUEUE'!$Y156="Ready",'MASTER_QUEUE'!H156,"")</x:f>
      </x:c>
    </x:row>
    <x:row r="157" ht="22" customHeight="1">
      <x:c r="A157" s="30" t="str">
        <x:f>IF('MASTER_QUEUE'!$Y157="Ready",'MASTER_QUEUE'!A157,"")</x:f>
      </x:c>
      <x:c r="B157" s="30" t="str">
        <x:f>IF('MASTER_QUEUE'!$Y157="Ready",'MASTER_QUEUE'!B157,"")</x:f>
      </x:c>
      <x:c r="C157" s="30" t="str">
        <x:f>IF('MASTER_QUEUE'!$Y157="Ready",'MASTER_QUEUE'!C157,"")</x:f>
      </x:c>
      <x:c r="D157" s="30" t="str">
        <x:f>IF('MASTER_QUEUE'!$Y157="Ready",'MASTER_QUEUE'!D157,"")</x:f>
      </x:c>
      <x:c r="E157" s="30" t="str">
        <x:f>IF('MASTER_QUEUE'!$Y157="Ready",'MASTER_QUEUE'!E157,"")</x:f>
      </x:c>
      <x:c r="F157" s="30" t="str">
        <x:f>IF('MASTER_QUEUE'!$Y157="Ready",'MASTER_QUEUE'!F157,"")</x:f>
      </x:c>
      <x:c r="G157" s="30" t="str">
        <x:f>IF('MASTER_QUEUE'!$Y157="Ready",'MASTER_QUEUE'!G157,"")</x:f>
      </x:c>
      <x:c r="H157" s="99" t="str">
        <x:f>IF('MASTER_QUEUE'!$Y157="Ready",'MASTER_QUEUE'!H157,"")</x:f>
      </x:c>
    </x:row>
    <x:row r="158" ht="22" customHeight="1">
      <x:c r="A158" s="30" t="str">
        <x:f>IF('MASTER_QUEUE'!$Y158="Ready",'MASTER_QUEUE'!A158,"")</x:f>
      </x:c>
      <x:c r="B158" s="30" t="str">
        <x:f>IF('MASTER_QUEUE'!$Y158="Ready",'MASTER_QUEUE'!B158,"")</x:f>
      </x:c>
      <x:c r="C158" s="30" t="str">
        <x:f>IF('MASTER_QUEUE'!$Y158="Ready",'MASTER_QUEUE'!C158,"")</x:f>
      </x:c>
      <x:c r="D158" s="30" t="str">
        <x:f>IF('MASTER_QUEUE'!$Y158="Ready",'MASTER_QUEUE'!D158,"")</x:f>
      </x:c>
      <x:c r="E158" s="30" t="str">
        <x:f>IF('MASTER_QUEUE'!$Y158="Ready",'MASTER_QUEUE'!E158,"")</x:f>
      </x:c>
      <x:c r="F158" s="30" t="str">
        <x:f>IF('MASTER_QUEUE'!$Y158="Ready",'MASTER_QUEUE'!F158,"")</x:f>
      </x:c>
      <x:c r="G158" s="30" t="str">
        <x:f>IF('MASTER_QUEUE'!$Y158="Ready",'MASTER_QUEUE'!G158,"")</x:f>
      </x:c>
      <x:c r="H158" s="99" t="str">
        <x:f>IF('MASTER_QUEUE'!$Y158="Ready",'MASTER_QUEUE'!H158,"")</x:f>
      </x:c>
    </x:row>
    <x:row r="159" ht="22" customHeight="1">
      <x:c r="A159" s="30" t="str">
        <x:f>IF('MASTER_QUEUE'!$Y159="Ready",'MASTER_QUEUE'!A159,"")</x:f>
      </x:c>
      <x:c r="B159" s="30" t="str">
        <x:f>IF('MASTER_QUEUE'!$Y159="Ready",'MASTER_QUEUE'!B159,"")</x:f>
      </x:c>
      <x:c r="C159" s="30" t="str">
        <x:f>IF('MASTER_QUEUE'!$Y159="Ready",'MASTER_QUEUE'!C159,"")</x:f>
      </x:c>
      <x:c r="D159" s="30" t="str">
        <x:f>IF('MASTER_QUEUE'!$Y159="Ready",'MASTER_QUEUE'!D159,"")</x:f>
      </x:c>
      <x:c r="E159" s="30" t="str">
        <x:f>IF('MASTER_QUEUE'!$Y159="Ready",'MASTER_QUEUE'!E159,"")</x:f>
      </x:c>
      <x:c r="F159" s="30" t="str">
        <x:f>IF('MASTER_QUEUE'!$Y159="Ready",'MASTER_QUEUE'!F159,"")</x:f>
      </x:c>
      <x:c r="G159" s="30" t="str">
        <x:f>IF('MASTER_QUEUE'!$Y159="Ready",'MASTER_QUEUE'!G159,"")</x:f>
      </x:c>
      <x:c r="H159" s="99" t="str">
        <x:f>IF('MASTER_QUEUE'!$Y159="Ready",'MASTER_QUEUE'!H159,"")</x:f>
      </x:c>
    </x:row>
    <x:row r="160" ht="22" customHeight="1">
      <x:c r="A160" s="30" t="str">
        <x:f>IF('MASTER_QUEUE'!$Y160="Ready",'MASTER_QUEUE'!A160,"")</x:f>
      </x:c>
      <x:c r="B160" s="30" t="str">
        <x:f>IF('MASTER_QUEUE'!$Y160="Ready",'MASTER_QUEUE'!B160,"")</x:f>
      </x:c>
      <x:c r="C160" s="30" t="str">
        <x:f>IF('MASTER_QUEUE'!$Y160="Ready",'MASTER_QUEUE'!C160,"")</x:f>
      </x:c>
      <x:c r="D160" s="30" t="str">
        <x:f>IF('MASTER_QUEUE'!$Y160="Ready",'MASTER_QUEUE'!D160,"")</x:f>
      </x:c>
      <x:c r="E160" s="30" t="str">
        <x:f>IF('MASTER_QUEUE'!$Y160="Ready",'MASTER_QUEUE'!E160,"")</x:f>
      </x:c>
      <x:c r="F160" s="30" t="str">
        <x:f>IF('MASTER_QUEUE'!$Y160="Ready",'MASTER_QUEUE'!F160,"")</x:f>
      </x:c>
      <x:c r="G160" s="30" t="str">
        <x:f>IF('MASTER_QUEUE'!$Y160="Ready",'MASTER_QUEUE'!G160,"")</x:f>
      </x:c>
      <x:c r="H160" s="99" t="str">
        <x:f>IF('MASTER_QUEUE'!$Y160="Ready",'MASTER_QUEUE'!H160,"")</x:f>
      </x:c>
    </x:row>
    <x:row r="161" ht="22" customHeight="1">
      <x:c r="A161" s="30" t="str">
        <x:f>IF('MASTER_QUEUE'!$Y161="Ready",'MASTER_QUEUE'!A161,"")</x:f>
      </x:c>
      <x:c r="B161" s="30" t="str">
        <x:f>IF('MASTER_QUEUE'!$Y161="Ready",'MASTER_QUEUE'!B161,"")</x:f>
      </x:c>
      <x:c r="C161" s="30" t="str">
        <x:f>IF('MASTER_QUEUE'!$Y161="Ready",'MASTER_QUEUE'!C161,"")</x:f>
      </x:c>
      <x:c r="D161" s="30" t="str">
        <x:f>IF('MASTER_QUEUE'!$Y161="Ready",'MASTER_QUEUE'!D161,"")</x:f>
      </x:c>
      <x:c r="E161" s="30" t="str">
        <x:f>IF('MASTER_QUEUE'!$Y161="Ready",'MASTER_QUEUE'!E161,"")</x:f>
      </x:c>
      <x:c r="F161" s="30" t="str">
        <x:f>IF('MASTER_QUEUE'!$Y161="Ready",'MASTER_QUEUE'!F161,"")</x:f>
      </x:c>
      <x:c r="G161" s="30" t="str">
        <x:f>IF('MASTER_QUEUE'!$Y161="Ready",'MASTER_QUEUE'!G161,"")</x:f>
      </x:c>
      <x:c r="H161" s="99" t="str">
        <x:f>IF('MASTER_QUEUE'!$Y161="Ready",'MASTER_QUEUE'!H161,"")</x:f>
      </x:c>
    </x:row>
    <x:row r="162" ht="22" customHeight="1">
      <x:c r="A162" s="30" t="str">
        <x:f>IF('MASTER_QUEUE'!$Y162="Ready",'MASTER_QUEUE'!A162,"")</x:f>
      </x:c>
      <x:c r="B162" s="30" t="str">
        <x:f>IF('MASTER_QUEUE'!$Y162="Ready",'MASTER_QUEUE'!B162,"")</x:f>
      </x:c>
      <x:c r="C162" s="30" t="str">
        <x:f>IF('MASTER_QUEUE'!$Y162="Ready",'MASTER_QUEUE'!C162,"")</x:f>
      </x:c>
      <x:c r="D162" s="30" t="str">
        <x:f>IF('MASTER_QUEUE'!$Y162="Ready",'MASTER_QUEUE'!D162,"")</x:f>
      </x:c>
      <x:c r="E162" s="30" t="str">
        <x:f>IF('MASTER_QUEUE'!$Y162="Ready",'MASTER_QUEUE'!E162,"")</x:f>
      </x:c>
      <x:c r="F162" s="30" t="str">
        <x:f>IF('MASTER_QUEUE'!$Y162="Ready",'MASTER_QUEUE'!F162,"")</x:f>
      </x:c>
      <x:c r="G162" s="30" t="str">
        <x:f>IF('MASTER_QUEUE'!$Y162="Ready",'MASTER_QUEUE'!G162,"")</x:f>
      </x:c>
      <x:c r="H162" s="99" t="str">
        <x:f>IF('MASTER_QUEUE'!$Y162="Ready",'MASTER_QUEUE'!H162,"")</x:f>
      </x:c>
    </x:row>
    <x:row r="163" ht="22" customHeight="1">
      <x:c r="A163" s="30" t="str">
        <x:f>IF('MASTER_QUEUE'!$Y163="Ready",'MASTER_QUEUE'!A163,"")</x:f>
      </x:c>
      <x:c r="B163" s="30" t="str">
        <x:f>IF('MASTER_QUEUE'!$Y163="Ready",'MASTER_QUEUE'!B163,"")</x:f>
      </x:c>
      <x:c r="C163" s="30" t="str">
        <x:f>IF('MASTER_QUEUE'!$Y163="Ready",'MASTER_QUEUE'!C163,"")</x:f>
      </x:c>
      <x:c r="D163" s="30" t="str">
        <x:f>IF('MASTER_QUEUE'!$Y163="Ready",'MASTER_QUEUE'!D163,"")</x:f>
      </x:c>
      <x:c r="E163" s="30" t="str">
        <x:f>IF('MASTER_QUEUE'!$Y163="Ready",'MASTER_QUEUE'!E163,"")</x:f>
      </x:c>
      <x:c r="F163" s="30" t="str">
        <x:f>IF('MASTER_QUEUE'!$Y163="Ready",'MASTER_QUEUE'!F163,"")</x:f>
      </x:c>
      <x:c r="G163" s="30" t="str">
        <x:f>IF('MASTER_QUEUE'!$Y163="Ready",'MASTER_QUEUE'!G163,"")</x:f>
      </x:c>
      <x:c r="H163" s="99" t="str">
        <x:f>IF('MASTER_QUEUE'!$Y163="Ready",'MASTER_QUEUE'!H163,"")</x:f>
      </x:c>
    </x:row>
    <x:row r="164" ht="22" customHeight="1">
      <x:c r="A164" s="30" t="str">
        <x:f>IF('MASTER_QUEUE'!$Y164="Ready",'MASTER_QUEUE'!A164,"")</x:f>
      </x:c>
      <x:c r="B164" s="30" t="str">
        <x:f>IF('MASTER_QUEUE'!$Y164="Ready",'MASTER_QUEUE'!B164,"")</x:f>
      </x:c>
      <x:c r="C164" s="30" t="str">
        <x:f>IF('MASTER_QUEUE'!$Y164="Ready",'MASTER_QUEUE'!C164,"")</x:f>
      </x:c>
      <x:c r="D164" s="30" t="str">
        <x:f>IF('MASTER_QUEUE'!$Y164="Ready",'MASTER_QUEUE'!D164,"")</x:f>
      </x:c>
      <x:c r="E164" s="30" t="str">
        <x:f>IF('MASTER_QUEUE'!$Y164="Ready",'MASTER_QUEUE'!E164,"")</x:f>
      </x:c>
      <x:c r="F164" s="30" t="str">
        <x:f>IF('MASTER_QUEUE'!$Y164="Ready",'MASTER_QUEUE'!F164,"")</x:f>
      </x:c>
      <x:c r="G164" s="30" t="str">
        <x:f>IF('MASTER_QUEUE'!$Y164="Ready",'MASTER_QUEUE'!G164,"")</x:f>
      </x:c>
      <x:c r="H164" s="99" t="str">
        <x:f>IF('MASTER_QUEUE'!$Y164="Ready",'MASTER_QUEUE'!H164,"")</x:f>
      </x:c>
    </x:row>
    <x:row r="165" ht="22" customHeight="1">
      <x:c r="A165" s="30" t="str">
        <x:f>IF('MASTER_QUEUE'!$Y165="Ready",'MASTER_QUEUE'!A165,"")</x:f>
      </x:c>
      <x:c r="B165" s="30" t="str">
        <x:f>IF('MASTER_QUEUE'!$Y165="Ready",'MASTER_QUEUE'!B165,"")</x:f>
      </x:c>
      <x:c r="C165" s="30" t="str">
        <x:f>IF('MASTER_QUEUE'!$Y165="Ready",'MASTER_QUEUE'!C165,"")</x:f>
      </x:c>
      <x:c r="D165" s="30" t="str">
        <x:f>IF('MASTER_QUEUE'!$Y165="Ready",'MASTER_QUEUE'!D165,"")</x:f>
      </x:c>
      <x:c r="E165" s="30" t="str">
        <x:f>IF('MASTER_QUEUE'!$Y165="Ready",'MASTER_QUEUE'!E165,"")</x:f>
      </x:c>
      <x:c r="F165" s="30" t="str">
        <x:f>IF('MASTER_QUEUE'!$Y165="Ready",'MASTER_QUEUE'!F165,"")</x:f>
      </x:c>
      <x:c r="G165" s="30" t="str">
        <x:f>IF('MASTER_QUEUE'!$Y165="Ready",'MASTER_QUEUE'!G165,"")</x:f>
      </x:c>
      <x:c r="H165" s="99" t="str">
        <x:f>IF('MASTER_QUEUE'!$Y165="Ready",'MASTER_QUEUE'!H165,"")</x:f>
      </x:c>
    </x:row>
    <x:row r="166" ht="22" customHeight="1">
      <x:c r="A166" s="30" t="str">
        <x:f>IF('MASTER_QUEUE'!$Y166="Ready",'MASTER_QUEUE'!A166,"")</x:f>
      </x:c>
      <x:c r="B166" s="30" t="str">
        <x:f>IF('MASTER_QUEUE'!$Y166="Ready",'MASTER_QUEUE'!B166,"")</x:f>
      </x:c>
      <x:c r="C166" s="30" t="str">
        <x:f>IF('MASTER_QUEUE'!$Y166="Ready",'MASTER_QUEUE'!C166,"")</x:f>
      </x:c>
      <x:c r="D166" s="30" t="str">
        <x:f>IF('MASTER_QUEUE'!$Y166="Ready",'MASTER_QUEUE'!D166,"")</x:f>
      </x:c>
      <x:c r="E166" s="30" t="str">
        <x:f>IF('MASTER_QUEUE'!$Y166="Ready",'MASTER_QUEUE'!E166,"")</x:f>
      </x:c>
      <x:c r="F166" s="30" t="str">
        <x:f>IF('MASTER_QUEUE'!$Y166="Ready",'MASTER_QUEUE'!F166,"")</x:f>
      </x:c>
      <x:c r="G166" s="30" t="str">
        <x:f>IF('MASTER_QUEUE'!$Y166="Ready",'MASTER_QUEUE'!G166,"")</x:f>
      </x:c>
      <x:c r="H166" s="99" t="str">
        <x:f>IF('MASTER_QUEUE'!$Y166="Ready",'MASTER_QUEUE'!H166,"")</x:f>
      </x:c>
    </x:row>
    <x:row r="167" ht="22" customHeight="1">
      <x:c r="A167" s="30" t="str">
        <x:f>IF('MASTER_QUEUE'!$Y167="Ready",'MASTER_QUEUE'!A167,"")</x:f>
      </x:c>
      <x:c r="B167" s="30" t="str">
        <x:f>IF('MASTER_QUEUE'!$Y167="Ready",'MASTER_QUEUE'!B167,"")</x:f>
      </x:c>
      <x:c r="C167" s="30" t="str">
        <x:f>IF('MASTER_QUEUE'!$Y167="Ready",'MASTER_QUEUE'!C167,"")</x:f>
      </x:c>
      <x:c r="D167" s="30" t="str">
        <x:f>IF('MASTER_QUEUE'!$Y167="Ready",'MASTER_QUEUE'!D167,"")</x:f>
      </x:c>
      <x:c r="E167" s="30" t="str">
        <x:f>IF('MASTER_QUEUE'!$Y167="Ready",'MASTER_QUEUE'!E167,"")</x:f>
      </x:c>
      <x:c r="F167" s="30" t="str">
        <x:f>IF('MASTER_QUEUE'!$Y167="Ready",'MASTER_QUEUE'!F167,"")</x:f>
      </x:c>
      <x:c r="G167" s="30" t="str">
        <x:f>IF('MASTER_QUEUE'!$Y167="Ready",'MASTER_QUEUE'!G167,"")</x:f>
      </x:c>
      <x:c r="H167" s="99" t="str">
        <x:f>IF('MASTER_QUEUE'!$Y167="Ready",'MASTER_QUEUE'!H167,"")</x:f>
      </x:c>
    </x:row>
    <x:row r="168" ht="22" customHeight="1">
      <x:c r="A168" s="30" t="str">
        <x:f>IF('MASTER_QUEUE'!$Y168="Ready",'MASTER_QUEUE'!A168,"")</x:f>
      </x:c>
      <x:c r="B168" s="30" t="str">
        <x:f>IF('MASTER_QUEUE'!$Y168="Ready",'MASTER_QUEUE'!B168,"")</x:f>
      </x:c>
      <x:c r="C168" s="30" t="str">
        <x:f>IF('MASTER_QUEUE'!$Y168="Ready",'MASTER_QUEUE'!C168,"")</x:f>
      </x:c>
      <x:c r="D168" s="30" t="str">
        <x:f>IF('MASTER_QUEUE'!$Y168="Ready",'MASTER_QUEUE'!D168,"")</x:f>
      </x:c>
      <x:c r="E168" s="30" t="str">
        <x:f>IF('MASTER_QUEUE'!$Y168="Ready",'MASTER_QUEUE'!E168,"")</x:f>
      </x:c>
      <x:c r="F168" s="30" t="str">
        <x:f>IF('MASTER_QUEUE'!$Y168="Ready",'MASTER_QUEUE'!F168,"")</x:f>
      </x:c>
      <x:c r="G168" s="30" t="str">
        <x:f>IF('MASTER_QUEUE'!$Y168="Ready",'MASTER_QUEUE'!G168,"")</x:f>
      </x:c>
      <x:c r="H168" s="99" t="str">
        <x:f>IF('MASTER_QUEUE'!$Y168="Ready",'MASTER_QUEUE'!H168,"")</x:f>
      </x:c>
    </x:row>
    <x:row r="169" ht="22" customHeight="1">
      <x:c r="A169" s="30" t="str">
        <x:f>IF('MASTER_QUEUE'!$Y169="Ready",'MASTER_QUEUE'!A169,"")</x:f>
      </x:c>
      <x:c r="B169" s="30" t="str">
        <x:f>IF('MASTER_QUEUE'!$Y169="Ready",'MASTER_QUEUE'!B169,"")</x:f>
      </x:c>
      <x:c r="C169" s="30" t="str">
        <x:f>IF('MASTER_QUEUE'!$Y169="Ready",'MASTER_QUEUE'!C169,"")</x:f>
      </x:c>
      <x:c r="D169" s="30" t="str">
        <x:f>IF('MASTER_QUEUE'!$Y169="Ready",'MASTER_QUEUE'!D169,"")</x:f>
      </x:c>
      <x:c r="E169" s="30" t="str">
        <x:f>IF('MASTER_QUEUE'!$Y169="Ready",'MASTER_QUEUE'!E169,"")</x:f>
      </x:c>
      <x:c r="F169" s="30" t="str">
        <x:f>IF('MASTER_QUEUE'!$Y169="Ready",'MASTER_QUEUE'!F169,"")</x:f>
      </x:c>
      <x:c r="G169" s="30" t="str">
        <x:f>IF('MASTER_QUEUE'!$Y169="Ready",'MASTER_QUEUE'!G169,"")</x:f>
      </x:c>
      <x:c r="H169" s="99" t="str">
        <x:f>IF('MASTER_QUEUE'!$Y169="Ready",'MASTER_QUEUE'!H169,"")</x:f>
      </x:c>
    </x:row>
    <x:row r="170" ht="22" customHeight="1">
      <x:c r="A170" s="30" t="str">
        <x:f>IF('MASTER_QUEUE'!$Y170="Ready",'MASTER_QUEUE'!A170,"")</x:f>
      </x:c>
      <x:c r="B170" s="30" t="str">
        <x:f>IF('MASTER_QUEUE'!$Y170="Ready",'MASTER_QUEUE'!B170,"")</x:f>
      </x:c>
      <x:c r="C170" s="30" t="str">
        <x:f>IF('MASTER_QUEUE'!$Y170="Ready",'MASTER_QUEUE'!C170,"")</x:f>
      </x:c>
      <x:c r="D170" s="30" t="str">
        <x:f>IF('MASTER_QUEUE'!$Y170="Ready",'MASTER_QUEUE'!D170,"")</x:f>
      </x:c>
      <x:c r="E170" s="30" t="str">
        <x:f>IF('MASTER_QUEUE'!$Y170="Ready",'MASTER_QUEUE'!E170,"")</x:f>
      </x:c>
      <x:c r="F170" s="30" t="str">
        <x:f>IF('MASTER_QUEUE'!$Y170="Ready",'MASTER_QUEUE'!F170,"")</x:f>
      </x:c>
      <x:c r="G170" s="30" t="str">
        <x:f>IF('MASTER_QUEUE'!$Y170="Ready",'MASTER_QUEUE'!G170,"")</x:f>
      </x:c>
      <x:c r="H170" s="99" t="str">
        <x:f>IF('MASTER_QUEUE'!$Y170="Ready",'MASTER_QUEUE'!H170,"")</x:f>
      </x:c>
    </x:row>
    <x:row r="171" ht="22" customHeight="1">
      <x:c r="A171" s="30" t="str">
        <x:f>IF('MASTER_QUEUE'!$Y171="Ready",'MASTER_QUEUE'!A171,"")</x:f>
      </x:c>
      <x:c r="B171" s="30" t="str">
        <x:f>IF('MASTER_QUEUE'!$Y171="Ready",'MASTER_QUEUE'!B171,"")</x:f>
      </x:c>
      <x:c r="C171" s="30" t="str">
        <x:f>IF('MASTER_QUEUE'!$Y171="Ready",'MASTER_QUEUE'!C171,"")</x:f>
      </x:c>
      <x:c r="D171" s="30" t="str">
        <x:f>IF('MASTER_QUEUE'!$Y171="Ready",'MASTER_QUEUE'!D171,"")</x:f>
      </x:c>
      <x:c r="E171" s="30" t="str">
        <x:f>IF('MASTER_QUEUE'!$Y171="Ready",'MASTER_QUEUE'!E171,"")</x:f>
      </x:c>
      <x:c r="F171" s="30" t="str">
        <x:f>IF('MASTER_QUEUE'!$Y171="Ready",'MASTER_QUEUE'!F171,"")</x:f>
      </x:c>
      <x:c r="G171" s="30" t="str">
        <x:f>IF('MASTER_QUEUE'!$Y171="Ready",'MASTER_QUEUE'!G171,"")</x:f>
      </x:c>
      <x:c r="H171" s="99" t="str">
        <x:f>IF('MASTER_QUEUE'!$Y171="Ready",'MASTER_QUEUE'!H171,"")</x:f>
      </x:c>
    </x:row>
    <x:row r="172" ht="22" customHeight="1">
      <x:c r="A172" s="30" t="str">
        <x:f>IF('MASTER_QUEUE'!$Y172="Ready",'MASTER_QUEUE'!A172,"")</x:f>
      </x:c>
      <x:c r="B172" s="30" t="str">
        <x:f>IF('MASTER_QUEUE'!$Y172="Ready",'MASTER_QUEUE'!B172,"")</x:f>
      </x:c>
      <x:c r="C172" s="30" t="str">
        <x:f>IF('MASTER_QUEUE'!$Y172="Ready",'MASTER_QUEUE'!C172,"")</x:f>
      </x:c>
      <x:c r="D172" s="30" t="str">
        <x:f>IF('MASTER_QUEUE'!$Y172="Ready",'MASTER_QUEUE'!D172,"")</x:f>
      </x:c>
      <x:c r="E172" s="30" t="str">
        <x:f>IF('MASTER_QUEUE'!$Y172="Ready",'MASTER_QUEUE'!E172,"")</x:f>
      </x:c>
      <x:c r="F172" s="30" t="str">
        <x:f>IF('MASTER_QUEUE'!$Y172="Ready",'MASTER_QUEUE'!F172,"")</x:f>
      </x:c>
      <x:c r="G172" s="30" t="str">
        <x:f>IF('MASTER_QUEUE'!$Y172="Ready",'MASTER_QUEUE'!G172,"")</x:f>
      </x:c>
      <x:c r="H172" s="99" t="str">
        <x:f>IF('MASTER_QUEUE'!$Y172="Ready",'MASTER_QUEUE'!H172,"")</x:f>
      </x:c>
    </x:row>
    <x:row r="173" ht="22" customHeight="1">
      <x:c r="A173" s="30" t="str">
        <x:f>IF('MASTER_QUEUE'!$Y173="Ready",'MASTER_QUEUE'!A173,"")</x:f>
      </x:c>
      <x:c r="B173" s="30" t="str">
        <x:f>IF('MASTER_QUEUE'!$Y173="Ready",'MASTER_QUEUE'!B173,"")</x:f>
      </x:c>
      <x:c r="C173" s="30" t="str">
        <x:f>IF('MASTER_QUEUE'!$Y173="Ready",'MASTER_QUEUE'!C173,"")</x:f>
      </x:c>
      <x:c r="D173" s="30" t="str">
        <x:f>IF('MASTER_QUEUE'!$Y173="Ready",'MASTER_QUEUE'!D173,"")</x:f>
      </x:c>
      <x:c r="E173" s="30" t="str">
        <x:f>IF('MASTER_QUEUE'!$Y173="Ready",'MASTER_QUEUE'!E173,"")</x:f>
      </x:c>
      <x:c r="F173" s="30" t="str">
        <x:f>IF('MASTER_QUEUE'!$Y173="Ready",'MASTER_QUEUE'!F173,"")</x:f>
      </x:c>
      <x:c r="G173" s="30" t="str">
        <x:f>IF('MASTER_QUEUE'!$Y173="Ready",'MASTER_QUEUE'!G173,"")</x:f>
      </x:c>
      <x:c r="H173" s="99" t="str">
        <x:f>IF('MASTER_QUEUE'!$Y173="Ready",'MASTER_QUEUE'!H173,"")</x:f>
      </x:c>
    </x:row>
    <x:row r="174" ht="22" customHeight="1">
      <x:c r="A174" s="30" t="str">
        <x:f>IF('MASTER_QUEUE'!$Y174="Ready",'MASTER_QUEUE'!A174,"")</x:f>
      </x:c>
      <x:c r="B174" s="30" t="str">
        <x:f>IF('MASTER_QUEUE'!$Y174="Ready",'MASTER_QUEUE'!B174,"")</x:f>
      </x:c>
      <x:c r="C174" s="30" t="str">
        <x:f>IF('MASTER_QUEUE'!$Y174="Ready",'MASTER_QUEUE'!C174,"")</x:f>
      </x:c>
      <x:c r="D174" s="30" t="str">
        <x:f>IF('MASTER_QUEUE'!$Y174="Ready",'MASTER_QUEUE'!D174,"")</x:f>
      </x:c>
      <x:c r="E174" s="30" t="str">
        <x:f>IF('MASTER_QUEUE'!$Y174="Ready",'MASTER_QUEUE'!E174,"")</x:f>
      </x:c>
      <x:c r="F174" s="30" t="str">
        <x:f>IF('MASTER_QUEUE'!$Y174="Ready",'MASTER_QUEUE'!F174,"")</x:f>
      </x:c>
      <x:c r="G174" s="30" t="str">
        <x:f>IF('MASTER_QUEUE'!$Y174="Ready",'MASTER_QUEUE'!G174,"")</x:f>
      </x:c>
      <x:c r="H174" s="99" t="str">
        <x:f>IF('MASTER_QUEUE'!$Y174="Ready",'MASTER_QUEUE'!H174,"")</x:f>
      </x:c>
    </x:row>
    <x:row r="175" ht="22" customHeight="1">
      <x:c r="A175" s="30" t="str">
        <x:f>IF('MASTER_QUEUE'!$Y175="Ready",'MASTER_QUEUE'!A175,"")</x:f>
      </x:c>
      <x:c r="B175" s="30" t="str">
        <x:f>IF('MASTER_QUEUE'!$Y175="Ready",'MASTER_QUEUE'!B175,"")</x:f>
      </x:c>
      <x:c r="C175" s="30" t="str">
        <x:f>IF('MASTER_QUEUE'!$Y175="Ready",'MASTER_QUEUE'!C175,"")</x:f>
      </x:c>
      <x:c r="D175" s="30" t="str">
        <x:f>IF('MASTER_QUEUE'!$Y175="Ready",'MASTER_QUEUE'!D175,"")</x:f>
      </x:c>
      <x:c r="E175" s="30" t="str">
        <x:f>IF('MASTER_QUEUE'!$Y175="Ready",'MASTER_QUEUE'!E175,"")</x:f>
      </x:c>
      <x:c r="F175" s="30" t="str">
        <x:f>IF('MASTER_QUEUE'!$Y175="Ready",'MASTER_QUEUE'!F175,"")</x:f>
      </x:c>
      <x:c r="G175" s="30" t="str">
        <x:f>IF('MASTER_QUEUE'!$Y175="Ready",'MASTER_QUEUE'!G175,"")</x:f>
      </x:c>
      <x:c r="H175" s="99" t="str">
        <x:f>IF('MASTER_QUEUE'!$Y175="Ready",'MASTER_QUEUE'!H175,"")</x:f>
      </x:c>
    </x:row>
    <x:row r="176" ht="22" customHeight="1">
      <x:c r="A176" s="30" t="str">
        <x:f>IF('MASTER_QUEUE'!$Y176="Ready",'MASTER_QUEUE'!A176,"")</x:f>
      </x:c>
      <x:c r="B176" s="30" t="str">
        <x:f>IF('MASTER_QUEUE'!$Y176="Ready",'MASTER_QUEUE'!B176,"")</x:f>
      </x:c>
      <x:c r="C176" s="30" t="str">
        <x:f>IF('MASTER_QUEUE'!$Y176="Ready",'MASTER_QUEUE'!C176,"")</x:f>
      </x:c>
      <x:c r="D176" s="30" t="str">
        <x:f>IF('MASTER_QUEUE'!$Y176="Ready",'MASTER_QUEUE'!D176,"")</x:f>
      </x:c>
      <x:c r="E176" s="30" t="str">
        <x:f>IF('MASTER_QUEUE'!$Y176="Ready",'MASTER_QUEUE'!E176,"")</x:f>
      </x:c>
      <x:c r="F176" s="30" t="str">
        <x:f>IF('MASTER_QUEUE'!$Y176="Ready",'MASTER_QUEUE'!F176,"")</x:f>
      </x:c>
      <x:c r="G176" s="30" t="str">
        <x:f>IF('MASTER_QUEUE'!$Y176="Ready",'MASTER_QUEUE'!G176,"")</x:f>
      </x:c>
      <x:c r="H176" s="99" t="str">
        <x:f>IF('MASTER_QUEUE'!$Y176="Ready",'MASTER_QUEUE'!H176,"")</x:f>
      </x:c>
    </x:row>
    <x:row r="177" ht="22" customHeight="1">
      <x:c r="A177" s="30" t="str">
        <x:f>IF('MASTER_QUEUE'!$Y177="Ready",'MASTER_QUEUE'!A177,"")</x:f>
      </x:c>
      <x:c r="B177" s="30" t="str">
        <x:f>IF('MASTER_QUEUE'!$Y177="Ready",'MASTER_QUEUE'!B177,"")</x:f>
      </x:c>
      <x:c r="C177" s="30" t="str">
        <x:f>IF('MASTER_QUEUE'!$Y177="Ready",'MASTER_QUEUE'!C177,"")</x:f>
      </x:c>
      <x:c r="D177" s="30" t="str">
        <x:f>IF('MASTER_QUEUE'!$Y177="Ready",'MASTER_QUEUE'!D177,"")</x:f>
      </x:c>
      <x:c r="E177" s="30" t="str">
        <x:f>IF('MASTER_QUEUE'!$Y177="Ready",'MASTER_QUEUE'!E177,"")</x:f>
      </x:c>
      <x:c r="F177" s="30" t="str">
        <x:f>IF('MASTER_QUEUE'!$Y177="Ready",'MASTER_QUEUE'!F177,"")</x:f>
      </x:c>
      <x:c r="G177" s="30" t="str">
        <x:f>IF('MASTER_QUEUE'!$Y177="Ready",'MASTER_QUEUE'!G177,"")</x:f>
      </x:c>
      <x:c r="H177" s="99" t="str">
        <x:f>IF('MASTER_QUEUE'!$Y177="Ready",'MASTER_QUEUE'!H177,"")</x:f>
      </x:c>
    </x:row>
    <x:row r="178" ht="22" customHeight="1">
      <x:c r="A178" s="30" t="str">
        <x:f>IF('MASTER_QUEUE'!$Y178="Ready",'MASTER_QUEUE'!A178,"")</x:f>
      </x:c>
      <x:c r="B178" s="30" t="str">
        <x:f>IF('MASTER_QUEUE'!$Y178="Ready",'MASTER_QUEUE'!B178,"")</x:f>
      </x:c>
      <x:c r="C178" s="30" t="str">
        <x:f>IF('MASTER_QUEUE'!$Y178="Ready",'MASTER_QUEUE'!C178,"")</x:f>
      </x:c>
      <x:c r="D178" s="30" t="str">
        <x:f>IF('MASTER_QUEUE'!$Y178="Ready",'MASTER_QUEUE'!D178,"")</x:f>
      </x:c>
      <x:c r="E178" s="30" t="str">
        <x:f>IF('MASTER_QUEUE'!$Y178="Ready",'MASTER_QUEUE'!E178,"")</x:f>
      </x:c>
      <x:c r="F178" s="30" t="str">
        <x:f>IF('MASTER_QUEUE'!$Y178="Ready",'MASTER_QUEUE'!F178,"")</x:f>
      </x:c>
      <x:c r="G178" s="30" t="str">
        <x:f>IF('MASTER_QUEUE'!$Y178="Ready",'MASTER_QUEUE'!G178,"")</x:f>
      </x:c>
      <x:c r="H178" s="99" t="str">
        <x:f>IF('MASTER_QUEUE'!$Y178="Ready",'MASTER_QUEUE'!H178,"")</x:f>
      </x:c>
    </x:row>
    <x:row r="179" ht="22" customHeight="1">
      <x:c r="A179" s="30" t="str">
        <x:f>IF('MASTER_QUEUE'!$Y179="Ready",'MASTER_QUEUE'!A179,"")</x:f>
      </x:c>
      <x:c r="B179" s="30" t="str">
        <x:f>IF('MASTER_QUEUE'!$Y179="Ready",'MASTER_QUEUE'!B179,"")</x:f>
      </x:c>
      <x:c r="C179" s="30" t="str">
        <x:f>IF('MASTER_QUEUE'!$Y179="Ready",'MASTER_QUEUE'!C179,"")</x:f>
      </x:c>
      <x:c r="D179" s="30" t="str">
        <x:f>IF('MASTER_QUEUE'!$Y179="Ready",'MASTER_QUEUE'!D179,"")</x:f>
      </x:c>
      <x:c r="E179" s="30" t="str">
        <x:f>IF('MASTER_QUEUE'!$Y179="Ready",'MASTER_QUEUE'!E179,"")</x:f>
      </x:c>
      <x:c r="F179" s="30" t="str">
        <x:f>IF('MASTER_QUEUE'!$Y179="Ready",'MASTER_QUEUE'!F179,"")</x:f>
      </x:c>
      <x:c r="G179" s="30" t="str">
        <x:f>IF('MASTER_QUEUE'!$Y179="Ready",'MASTER_QUEUE'!G179,"")</x:f>
      </x:c>
      <x:c r="H179" s="99" t="str">
        <x:f>IF('MASTER_QUEUE'!$Y179="Ready",'MASTER_QUEUE'!H179,"")</x:f>
      </x:c>
    </x:row>
    <x:row r="180" ht="22" customHeight="1">
      <x:c r="A180" s="30" t="str">
        <x:f>IF('MASTER_QUEUE'!$Y180="Ready",'MASTER_QUEUE'!A180,"")</x:f>
      </x:c>
      <x:c r="B180" s="30" t="str">
        <x:f>IF('MASTER_QUEUE'!$Y180="Ready",'MASTER_QUEUE'!B180,"")</x:f>
      </x:c>
      <x:c r="C180" s="30" t="str">
        <x:f>IF('MASTER_QUEUE'!$Y180="Ready",'MASTER_QUEUE'!C180,"")</x:f>
      </x:c>
      <x:c r="D180" s="30" t="str">
        <x:f>IF('MASTER_QUEUE'!$Y180="Ready",'MASTER_QUEUE'!D180,"")</x:f>
      </x:c>
      <x:c r="E180" s="30" t="str">
        <x:f>IF('MASTER_QUEUE'!$Y180="Ready",'MASTER_QUEUE'!E180,"")</x:f>
      </x:c>
      <x:c r="F180" s="30" t="str">
        <x:f>IF('MASTER_QUEUE'!$Y180="Ready",'MASTER_QUEUE'!F180,"")</x:f>
      </x:c>
      <x:c r="G180" s="30" t="str">
        <x:f>IF('MASTER_QUEUE'!$Y180="Ready",'MASTER_QUEUE'!G180,"")</x:f>
      </x:c>
      <x:c r="H180" s="99" t="str">
        <x:f>IF('MASTER_QUEUE'!$Y180="Ready",'MASTER_QUEUE'!H180,"")</x:f>
      </x:c>
    </x:row>
    <x:row r="181" ht="22" customHeight="1">
      <x:c r="A181" s="30" t="str">
        <x:f>IF('MASTER_QUEUE'!$Y181="Ready",'MASTER_QUEUE'!A181,"")</x:f>
      </x:c>
      <x:c r="B181" s="30" t="str">
        <x:f>IF('MASTER_QUEUE'!$Y181="Ready",'MASTER_QUEUE'!B181,"")</x:f>
      </x:c>
      <x:c r="C181" s="30" t="str">
        <x:f>IF('MASTER_QUEUE'!$Y181="Ready",'MASTER_QUEUE'!C181,"")</x:f>
      </x:c>
      <x:c r="D181" s="30" t="str">
        <x:f>IF('MASTER_QUEUE'!$Y181="Ready",'MASTER_QUEUE'!D181,"")</x:f>
      </x:c>
      <x:c r="E181" s="30" t="str">
        <x:f>IF('MASTER_QUEUE'!$Y181="Ready",'MASTER_QUEUE'!E181,"")</x:f>
      </x:c>
      <x:c r="F181" s="30" t="str">
        <x:f>IF('MASTER_QUEUE'!$Y181="Ready",'MASTER_QUEUE'!F181,"")</x:f>
      </x:c>
      <x:c r="G181" s="30" t="str">
        <x:f>IF('MASTER_QUEUE'!$Y181="Ready",'MASTER_QUEUE'!G181,"")</x:f>
      </x:c>
      <x:c r="H181" s="99" t="str">
        <x:f>IF('MASTER_QUEUE'!$Y181="Ready",'MASTER_QUEUE'!H181,"")</x:f>
      </x:c>
    </x:row>
    <x:row r="182" ht="22" customHeight="1">
      <x:c r="A182" s="30" t="str">
        <x:f>IF('MASTER_QUEUE'!$Y182="Ready",'MASTER_QUEUE'!A182,"")</x:f>
      </x:c>
      <x:c r="B182" s="30" t="str">
        <x:f>IF('MASTER_QUEUE'!$Y182="Ready",'MASTER_QUEUE'!B182,"")</x:f>
      </x:c>
      <x:c r="C182" s="30" t="str">
        <x:f>IF('MASTER_QUEUE'!$Y182="Ready",'MASTER_QUEUE'!C182,"")</x:f>
      </x:c>
      <x:c r="D182" s="30" t="str">
        <x:f>IF('MASTER_QUEUE'!$Y182="Ready",'MASTER_QUEUE'!D182,"")</x:f>
      </x:c>
      <x:c r="E182" s="30" t="str">
        <x:f>IF('MASTER_QUEUE'!$Y182="Ready",'MASTER_QUEUE'!E182,"")</x:f>
      </x:c>
      <x:c r="F182" s="30" t="str">
        <x:f>IF('MASTER_QUEUE'!$Y182="Ready",'MASTER_QUEUE'!F182,"")</x:f>
      </x:c>
      <x:c r="G182" s="30" t="str">
        <x:f>IF('MASTER_QUEUE'!$Y182="Ready",'MASTER_QUEUE'!G182,"")</x:f>
      </x:c>
      <x:c r="H182" s="99" t="str">
        <x:f>IF('MASTER_QUEUE'!$Y182="Ready",'MASTER_QUEUE'!H182,"")</x:f>
      </x:c>
    </x:row>
    <x:row r="183" ht="22" customHeight="1">
      <x:c r="A183" s="30" t="str">
        <x:f>IF('MASTER_QUEUE'!$Y183="Ready",'MASTER_QUEUE'!A183,"")</x:f>
      </x:c>
      <x:c r="B183" s="30" t="str">
        <x:f>IF('MASTER_QUEUE'!$Y183="Ready",'MASTER_QUEUE'!B183,"")</x:f>
      </x:c>
      <x:c r="C183" s="30" t="str">
        <x:f>IF('MASTER_QUEUE'!$Y183="Ready",'MASTER_QUEUE'!C183,"")</x:f>
      </x:c>
      <x:c r="D183" s="30" t="str">
        <x:f>IF('MASTER_QUEUE'!$Y183="Ready",'MASTER_QUEUE'!D183,"")</x:f>
      </x:c>
      <x:c r="E183" s="30" t="str">
        <x:f>IF('MASTER_QUEUE'!$Y183="Ready",'MASTER_QUEUE'!E183,"")</x:f>
      </x:c>
      <x:c r="F183" s="30" t="str">
        <x:f>IF('MASTER_QUEUE'!$Y183="Ready",'MASTER_QUEUE'!F183,"")</x:f>
      </x:c>
      <x:c r="G183" s="30" t="str">
        <x:f>IF('MASTER_QUEUE'!$Y183="Ready",'MASTER_QUEUE'!G183,"")</x:f>
      </x:c>
      <x:c r="H183" s="99" t="str">
        <x:f>IF('MASTER_QUEUE'!$Y183="Ready",'MASTER_QUEUE'!H183,"")</x:f>
      </x:c>
    </x:row>
    <x:row r="184" ht="22" customHeight="1">
      <x:c r="A184" s="30" t="str">
        <x:f>IF('MASTER_QUEUE'!$Y184="Ready",'MASTER_QUEUE'!A184,"")</x:f>
      </x:c>
      <x:c r="B184" s="30" t="str">
        <x:f>IF('MASTER_QUEUE'!$Y184="Ready",'MASTER_QUEUE'!B184,"")</x:f>
      </x:c>
      <x:c r="C184" s="30" t="str">
        <x:f>IF('MASTER_QUEUE'!$Y184="Ready",'MASTER_QUEUE'!C184,"")</x:f>
      </x:c>
      <x:c r="D184" s="30" t="str">
        <x:f>IF('MASTER_QUEUE'!$Y184="Ready",'MASTER_QUEUE'!D184,"")</x:f>
      </x:c>
      <x:c r="E184" s="30" t="str">
        <x:f>IF('MASTER_QUEUE'!$Y184="Ready",'MASTER_QUEUE'!E184,"")</x:f>
      </x:c>
      <x:c r="F184" s="30" t="str">
        <x:f>IF('MASTER_QUEUE'!$Y184="Ready",'MASTER_QUEUE'!F184,"")</x:f>
      </x:c>
      <x:c r="G184" s="30" t="str">
        <x:f>IF('MASTER_QUEUE'!$Y184="Ready",'MASTER_QUEUE'!G184,"")</x:f>
      </x:c>
      <x:c r="H184" s="99" t="str">
        <x:f>IF('MASTER_QUEUE'!$Y184="Ready",'MASTER_QUEUE'!H184,"")</x:f>
      </x:c>
    </x:row>
    <x:row r="185" ht="22" customHeight="1">
      <x:c r="A185" s="30" t="str">
        <x:f>IF('MASTER_QUEUE'!$Y185="Ready",'MASTER_QUEUE'!A185,"")</x:f>
      </x:c>
      <x:c r="B185" s="30" t="str">
        <x:f>IF('MASTER_QUEUE'!$Y185="Ready",'MASTER_QUEUE'!B185,"")</x:f>
      </x:c>
      <x:c r="C185" s="30" t="str">
        <x:f>IF('MASTER_QUEUE'!$Y185="Ready",'MASTER_QUEUE'!C185,"")</x:f>
      </x:c>
      <x:c r="D185" s="30" t="str">
        <x:f>IF('MASTER_QUEUE'!$Y185="Ready",'MASTER_QUEUE'!D185,"")</x:f>
      </x:c>
      <x:c r="E185" s="30" t="str">
        <x:f>IF('MASTER_QUEUE'!$Y185="Ready",'MASTER_QUEUE'!E185,"")</x:f>
      </x:c>
      <x:c r="F185" s="30" t="str">
        <x:f>IF('MASTER_QUEUE'!$Y185="Ready",'MASTER_QUEUE'!F185,"")</x:f>
      </x:c>
      <x:c r="G185" s="30" t="str">
        <x:f>IF('MASTER_QUEUE'!$Y185="Ready",'MASTER_QUEUE'!G185,"")</x:f>
      </x:c>
      <x:c r="H185" s="99" t="str">
        <x:f>IF('MASTER_QUEUE'!$Y185="Ready",'MASTER_QUEUE'!H185,"")</x:f>
      </x:c>
    </x:row>
    <x:row r="186" ht="22" customHeight="1">
      <x:c r="A186" s="30" t="str">
        <x:f>IF('MASTER_QUEUE'!$Y186="Ready",'MASTER_QUEUE'!A186,"")</x:f>
      </x:c>
      <x:c r="B186" s="30" t="str">
        <x:f>IF('MASTER_QUEUE'!$Y186="Ready",'MASTER_QUEUE'!B186,"")</x:f>
      </x:c>
      <x:c r="C186" s="30" t="str">
        <x:f>IF('MASTER_QUEUE'!$Y186="Ready",'MASTER_QUEUE'!C186,"")</x:f>
      </x:c>
      <x:c r="D186" s="30" t="str">
        <x:f>IF('MASTER_QUEUE'!$Y186="Ready",'MASTER_QUEUE'!D186,"")</x:f>
      </x:c>
      <x:c r="E186" s="30" t="str">
        <x:f>IF('MASTER_QUEUE'!$Y186="Ready",'MASTER_QUEUE'!E186,"")</x:f>
      </x:c>
      <x:c r="F186" s="30" t="str">
        <x:f>IF('MASTER_QUEUE'!$Y186="Ready",'MASTER_QUEUE'!F186,"")</x:f>
      </x:c>
      <x:c r="G186" s="30" t="str">
        <x:f>IF('MASTER_QUEUE'!$Y186="Ready",'MASTER_QUEUE'!G186,"")</x:f>
      </x:c>
      <x:c r="H186" s="99" t="str">
        <x:f>IF('MASTER_QUEUE'!$Y186="Ready",'MASTER_QUEUE'!H186,"")</x:f>
      </x:c>
    </x:row>
    <x:row r="187" ht="22" customHeight="1">
      <x:c r="A187" s="30" t="str">
        <x:f>IF('MASTER_QUEUE'!$Y187="Ready",'MASTER_QUEUE'!A187,"")</x:f>
      </x:c>
      <x:c r="B187" s="30" t="str">
        <x:f>IF('MASTER_QUEUE'!$Y187="Ready",'MASTER_QUEUE'!B187,"")</x:f>
      </x:c>
      <x:c r="C187" s="30" t="str">
        <x:f>IF('MASTER_QUEUE'!$Y187="Ready",'MASTER_QUEUE'!C187,"")</x:f>
      </x:c>
      <x:c r="D187" s="30" t="str">
        <x:f>IF('MASTER_QUEUE'!$Y187="Ready",'MASTER_QUEUE'!D187,"")</x:f>
      </x:c>
      <x:c r="E187" s="30" t="str">
        <x:f>IF('MASTER_QUEUE'!$Y187="Ready",'MASTER_QUEUE'!E187,"")</x:f>
      </x:c>
      <x:c r="F187" s="30" t="str">
        <x:f>IF('MASTER_QUEUE'!$Y187="Ready",'MASTER_QUEUE'!F187,"")</x:f>
      </x:c>
      <x:c r="G187" s="30" t="str">
        <x:f>IF('MASTER_QUEUE'!$Y187="Ready",'MASTER_QUEUE'!G187,"")</x:f>
      </x:c>
      <x:c r="H187" s="99" t="str">
        <x:f>IF('MASTER_QUEUE'!$Y187="Ready",'MASTER_QUEUE'!H187,"")</x:f>
      </x:c>
    </x:row>
    <x:row r="188" ht="22" customHeight="1">
      <x:c r="A188" s="30" t="str">
        <x:f>IF('MASTER_QUEUE'!$Y188="Ready",'MASTER_QUEUE'!A188,"")</x:f>
      </x:c>
      <x:c r="B188" s="30" t="str">
        <x:f>IF('MASTER_QUEUE'!$Y188="Ready",'MASTER_QUEUE'!B188,"")</x:f>
      </x:c>
      <x:c r="C188" s="30" t="str">
        <x:f>IF('MASTER_QUEUE'!$Y188="Ready",'MASTER_QUEUE'!C188,"")</x:f>
      </x:c>
      <x:c r="D188" s="30" t="str">
        <x:f>IF('MASTER_QUEUE'!$Y188="Ready",'MASTER_QUEUE'!D188,"")</x:f>
      </x:c>
      <x:c r="E188" s="30" t="str">
        <x:f>IF('MASTER_QUEUE'!$Y188="Ready",'MASTER_QUEUE'!E188,"")</x:f>
      </x:c>
      <x:c r="F188" s="30" t="str">
        <x:f>IF('MASTER_QUEUE'!$Y188="Ready",'MASTER_QUEUE'!F188,"")</x:f>
      </x:c>
      <x:c r="G188" s="30" t="str">
        <x:f>IF('MASTER_QUEUE'!$Y188="Ready",'MASTER_QUEUE'!G188,"")</x:f>
      </x:c>
      <x:c r="H188" s="99" t="str">
        <x:f>IF('MASTER_QUEUE'!$Y188="Ready",'MASTER_QUEUE'!H188,"")</x:f>
      </x:c>
    </x:row>
    <x:row r="189" ht="22" customHeight="1">
      <x:c r="A189" s="30" t="str">
        <x:f>IF('MASTER_QUEUE'!$Y189="Ready",'MASTER_QUEUE'!A189,"")</x:f>
      </x:c>
      <x:c r="B189" s="30" t="str">
        <x:f>IF('MASTER_QUEUE'!$Y189="Ready",'MASTER_QUEUE'!B189,"")</x:f>
      </x:c>
      <x:c r="C189" s="30" t="str">
        <x:f>IF('MASTER_QUEUE'!$Y189="Ready",'MASTER_QUEUE'!C189,"")</x:f>
      </x:c>
      <x:c r="D189" s="30" t="str">
        <x:f>IF('MASTER_QUEUE'!$Y189="Ready",'MASTER_QUEUE'!D189,"")</x:f>
      </x:c>
      <x:c r="E189" s="30" t="str">
        <x:f>IF('MASTER_QUEUE'!$Y189="Ready",'MASTER_QUEUE'!E189,"")</x:f>
      </x:c>
      <x:c r="F189" s="30" t="str">
        <x:f>IF('MASTER_QUEUE'!$Y189="Ready",'MASTER_QUEUE'!F189,"")</x:f>
      </x:c>
      <x:c r="G189" s="30" t="str">
        <x:f>IF('MASTER_QUEUE'!$Y189="Ready",'MASTER_QUEUE'!G189,"")</x:f>
      </x:c>
      <x:c r="H189" s="99" t="str">
        <x:f>IF('MASTER_QUEUE'!$Y189="Ready",'MASTER_QUEUE'!H189,"")</x:f>
      </x:c>
    </x:row>
    <x:row r="190" ht="22" customHeight="1">
      <x:c r="A190" s="30" t="str">
        <x:f>IF('MASTER_QUEUE'!$Y190="Ready",'MASTER_QUEUE'!A190,"")</x:f>
      </x:c>
      <x:c r="B190" s="30" t="str">
        <x:f>IF('MASTER_QUEUE'!$Y190="Ready",'MASTER_QUEUE'!B190,"")</x:f>
      </x:c>
      <x:c r="C190" s="30" t="str">
        <x:f>IF('MASTER_QUEUE'!$Y190="Ready",'MASTER_QUEUE'!C190,"")</x:f>
      </x:c>
      <x:c r="D190" s="30" t="str">
        <x:f>IF('MASTER_QUEUE'!$Y190="Ready",'MASTER_QUEUE'!D190,"")</x:f>
      </x:c>
      <x:c r="E190" s="30" t="str">
        <x:f>IF('MASTER_QUEUE'!$Y190="Ready",'MASTER_QUEUE'!E190,"")</x:f>
      </x:c>
      <x:c r="F190" s="30" t="str">
        <x:f>IF('MASTER_QUEUE'!$Y190="Ready",'MASTER_QUEUE'!F190,"")</x:f>
      </x:c>
      <x:c r="G190" s="30" t="str">
        <x:f>IF('MASTER_QUEUE'!$Y190="Ready",'MASTER_QUEUE'!G190,"")</x:f>
      </x:c>
      <x:c r="H190" s="99" t="str">
        <x:f>IF('MASTER_QUEUE'!$Y190="Ready",'MASTER_QUEUE'!H190,"")</x:f>
      </x:c>
    </x:row>
    <x:row r="191" ht="22" customHeight="1">
      <x:c r="A191" s="30" t="str">
        <x:f>IF('MASTER_QUEUE'!$Y191="Ready",'MASTER_QUEUE'!A191,"")</x:f>
      </x:c>
      <x:c r="B191" s="30" t="str">
        <x:f>IF('MASTER_QUEUE'!$Y191="Ready",'MASTER_QUEUE'!B191,"")</x:f>
      </x:c>
      <x:c r="C191" s="30" t="str">
        <x:f>IF('MASTER_QUEUE'!$Y191="Ready",'MASTER_QUEUE'!C191,"")</x:f>
      </x:c>
      <x:c r="D191" s="30" t="str">
        <x:f>IF('MASTER_QUEUE'!$Y191="Ready",'MASTER_QUEUE'!D191,"")</x:f>
      </x:c>
      <x:c r="E191" s="30" t="str">
        <x:f>IF('MASTER_QUEUE'!$Y191="Ready",'MASTER_QUEUE'!E191,"")</x:f>
      </x:c>
      <x:c r="F191" s="30" t="str">
        <x:f>IF('MASTER_QUEUE'!$Y191="Ready",'MASTER_QUEUE'!F191,"")</x:f>
      </x:c>
      <x:c r="G191" s="30" t="str">
        <x:f>IF('MASTER_QUEUE'!$Y191="Ready",'MASTER_QUEUE'!G191,"")</x:f>
      </x:c>
      <x:c r="H191" s="99" t="str">
        <x:f>IF('MASTER_QUEUE'!$Y191="Ready",'MASTER_QUEUE'!H191,"")</x:f>
      </x:c>
    </x:row>
    <x:row r="192" ht="22" customHeight="1">
      <x:c r="A192" s="30" t="str">
        <x:f>IF('MASTER_QUEUE'!$Y192="Ready",'MASTER_QUEUE'!A192,"")</x:f>
      </x:c>
      <x:c r="B192" s="30" t="str">
        <x:f>IF('MASTER_QUEUE'!$Y192="Ready",'MASTER_QUEUE'!B192,"")</x:f>
      </x:c>
      <x:c r="C192" s="30" t="str">
        <x:f>IF('MASTER_QUEUE'!$Y192="Ready",'MASTER_QUEUE'!C192,"")</x:f>
      </x:c>
      <x:c r="D192" s="30" t="str">
        <x:f>IF('MASTER_QUEUE'!$Y192="Ready",'MASTER_QUEUE'!D192,"")</x:f>
      </x:c>
      <x:c r="E192" s="30" t="str">
        <x:f>IF('MASTER_QUEUE'!$Y192="Ready",'MASTER_QUEUE'!E192,"")</x:f>
      </x:c>
      <x:c r="F192" s="30" t="str">
        <x:f>IF('MASTER_QUEUE'!$Y192="Ready",'MASTER_QUEUE'!F192,"")</x:f>
      </x:c>
      <x:c r="G192" s="30" t="str">
        <x:f>IF('MASTER_QUEUE'!$Y192="Ready",'MASTER_QUEUE'!G192,"")</x:f>
      </x:c>
      <x:c r="H192" s="99" t="str">
        <x:f>IF('MASTER_QUEUE'!$Y192="Ready",'MASTER_QUEUE'!H192,"")</x:f>
      </x:c>
    </x:row>
    <x:row r="193" ht="22" customHeight="1">
      <x:c r="A193" s="30" t="str">
        <x:f>IF('MASTER_QUEUE'!$Y193="Ready",'MASTER_QUEUE'!A193,"")</x:f>
      </x:c>
      <x:c r="B193" s="30" t="str">
        <x:f>IF('MASTER_QUEUE'!$Y193="Ready",'MASTER_QUEUE'!B193,"")</x:f>
      </x:c>
      <x:c r="C193" s="30" t="str">
        <x:f>IF('MASTER_QUEUE'!$Y193="Ready",'MASTER_QUEUE'!C193,"")</x:f>
      </x:c>
      <x:c r="D193" s="30" t="str">
        <x:f>IF('MASTER_QUEUE'!$Y193="Ready",'MASTER_QUEUE'!D193,"")</x:f>
      </x:c>
      <x:c r="E193" s="30" t="str">
        <x:f>IF('MASTER_QUEUE'!$Y193="Ready",'MASTER_QUEUE'!E193,"")</x:f>
      </x:c>
      <x:c r="F193" s="30" t="str">
        <x:f>IF('MASTER_QUEUE'!$Y193="Ready",'MASTER_QUEUE'!F193,"")</x:f>
      </x:c>
      <x:c r="G193" s="30" t="str">
        <x:f>IF('MASTER_QUEUE'!$Y193="Ready",'MASTER_QUEUE'!G193,"")</x:f>
      </x:c>
      <x:c r="H193" s="99" t="str">
        <x:f>IF('MASTER_QUEUE'!$Y193="Ready",'MASTER_QUEUE'!H193,"")</x:f>
      </x:c>
    </x:row>
    <x:row r="194" ht="22" customHeight="1">
      <x:c r="A194" s="30" t="str">
        <x:f>IF('MASTER_QUEUE'!$Y194="Ready",'MASTER_QUEUE'!A194,"")</x:f>
      </x:c>
      <x:c r="B194" s="30" t="str">
        <x:f>IF('MASTER_QUEUE'!$Y194="Ready",'MASTER_QUEUE'!B194,"")</x:f>
      </x:c>
      <x:c r="C194" s="30" t="str">
        <x:f>IF('MASTER_QUEUE'!$Y194="Ready",'MASTER_QUEUE'!C194,"")</x:f>
      </x:c>
      <x:c r="D194" s="30" t="str">
        <x:f>IF('MASTER_QUEUE'!$Y194="Ready",'MASTER_QUEUE'!D194,"")</x:f>
      </x:c>
      <x:c r="E194" s="30" t="str">
        <x:f>IF('MASTER_QUEUE'!$Y194="Ready",'MASTER_QUEUE'!E194,"")</x:f>
      </x:c>
      <x:c r="F194" s="30" t="str">
        <x:f>IF('MASTER_QUEUE'!$Y194="Ready",'MASTER_QUEUE'!F194,"")</x:f>
      </x:c>
      <x:c r="G194" s="30" t="str">
        <x:f>IF('MASTER_QUEUE'!$Y194="Ready",'MASTER_QUEUE'!G194,"")</x:f>
      </x:c>
      <x:c r="H194" s="99" t="str">
        <x:f>IF('MASTER_QUEUE'!$Y194="Ready",'MASTER_QUEUE'!H194,"")</x:f>
      </x:c>
    </x:row>
    <x:row r="195" ht="22" customHeight="1">
      <x:c r="A195" s="30" t="str">
        <x:f>IF('MASTER_QUEUE'!$Y195="Ready",'MASTER_QUEUE'!A195,"")</x:f>
      </x:c>
      <x:c r="B195" s="30" t="str">
        <x:f>IF('MASTER_QUEUE'!$Y195="Ready",'MASTER_QUEUE'!B195,"")</x:f>
      </x:c>
      <x:c r="C195" s="30" t="str">
        <x:f>IF('MASTER_QUEUE'!$Y195="Ready",'MASTER_QUEUE'!C195,"")</x:f>
      </x:c>
      <x:c r="D195" s="30" t="str">
        <x:f>IF('MASTER_QUEUE'!$Y195="Ready",'MASTER_QUEUE'!D195,"")</x:f>
      </x:c>
      <x:c r="E195" s="30" t="str">
        <x:f>IF('MASTER_QUEUE'!$Y195="Ready",'MASTER_QUEUE'!E195,"")</x:f>
      </x:c>
      <x:c r="F195" s="30" t="str">
        <x:f>IF('MASTER_QUEUE'!$Y195="Ready",'MASTER_QUEUE'!F195,"")</x:f>
      </x:c>
      <x:c r="G195" s="30" t="str">
        <x:f>IF('MASTER_QUEUE'!$Y195="Ready",'MASTER_QUEUE'!G195,"")</x:f>
      </x:c>
      <x:c r="H195" s="99" t="str">
        <x:f>IF('MASTER_QUEUE'!$Y195="Ready",'MASTER_QUEUE'!H195,"")</x:f>
      </x:c>
    </x:row>
    <x:row r="196" ht="22" customHeight="1">
      <x:c r="A196" s="30" t="str">
        <x:f>IF('MASTER_QUEUE'!$Y196="Ready",'MASTER_QUEUE'!A196,"")</x:f>
      </x:c>
      <x:c r="B196" s="30" t="str">
        <x:f>IF('MASTER_QUEUE'!$Y196="Ready",'MASTER_QUEUE'!B196,"")</x:f>
      </x:c>
      <x:c r="C196" s="30" t="str">
        <x:f>IF('MASTER_QUEUE'!$Y196="Ready",'MASTER_QUEUE'!C196,"")</x:f>
      </x:c>
      <x:c r="D196" s="30" t="str">
        <x:f>IF('MASTER_QUEUE'!$Y196="Ready",'MASTER_QUEUE'!D196,"")</x:f>
      </x:c>
      <x:c r="E196" s="30" t="str">
        <x:f>IF('MASTER_QUEUE'!$Y196="Ready",'MASTER_QUEUE'!E196,"")</x:f>
      </x:c>
      <x:c r="F196" s="30" t="str">
        <x:f>IF('MASTER_QUEUE'!$Y196="Ready",'MASTER_QUEUE'!F196,"")</x:f>
      </x:c>
      <x:c r="G196" s="30" t="str">
        <x:f>IF('MASTER_QUEUE'!$Y196="Ready",'MASTER_QUEUE'!G196,"")</x:f>
      </x:c>
      <x:c r="H196" s="99" t="str">
        <x:f>IF('MASTER_QUEUE'!$Y196="Ready",'MASTER_QUEUE'!H196,"")</x:f>
      </x:c>
    </x:row>
    <x:row r="197" ht="22" customHeight="1">
      <x:c r="A197" s="30" t="str">
        <x:f>IF('MASTER_QUEUE'!$Y197="Ready",'MASTER_QUEUE'!A197,"")</x:f>
      </x:c>
      <x:c r="B197" s="30" t="str">
        <x:f>IF('MASTER_QUEUE'!$Y197="Ready",'MASTER_QUEUE'!B197,"")</x:f>
      </x:c>
      <x:c r="C197" s="30" t="str">
        <x:f>IF('MASTER_QUEUE'!$Y197="Ready",'MASTER_QUEUE'!C197,"")</x:f>
      </x:c>
      <x:c r="D197" s="30" t="str">
        <x:f>IF('MASTER_QUEUE'!$Y197="Ready",'MASTER_QUEUE'!D197,"")</x:f>
      </x:c>
      <x:c r="E197" s="30" t="str">
        <x:f>IF('MASTER_QUEUE'!$Y197="Ready",'MASTER_QUEUE'!E197,"")</x:f>
      </x:c>
      <x:c r="F197" s="30" t="str">
        <x:f>IF('MASTER_QUEUE'!$Y197="Ready",'MASTER_QUEUE'!F197,"")</x:f>
      </x:c>
      <x:c r="G197" s="30" t="str">
        <x:f>IF('MASTER_QUEUE'!$Y197="Ready",'MASTER_QUEUE'!G197,"")</x:f>
      </x:c>
      <x:c r="H197" s="99" t="str">
        <x:f>IF('MASTER_QUEUE'!$Y197="Ready",'MASTER_QUEUE'!H197,"")</x:f>
      </x:c>
    </x:row>
    <x:row r="198" ht="22" customHeight="1">
      <x:c r="A198" s="30" t="str">
        <x:f>IF('MASTER_QUEUE'!$Y198="Ready",'MASTER_QUEUE'!A198,"")</x:f>
      </x:c>
      <x:c r="B198" s="30" t="str">
        <x:f>IF('MASTER_QUEUE'!$Y198="Ready",'MASTER_QUEUE'!B198,"")</x:f>
      </x:c>
      <x:c r="C198" s="30" t="str">
        <x:f>IF('MASTER_QUEUE'!$Y198="Ready",'MASTER_QUEUE'!C198,"")</x:f>
      </x:c>
      <x:c r="D198" s="30" t="str">
        <x:f>IF('MASTER_QUEUE'!$Y198="Ready",'MASTER_QUEUE'!D198,"")</x:f>
      </x:c>
      <x:c r="E198" s="30" t="str">
        <x:f>IF('MASTER_QUEUE'!$Y198="Ready",'MASTER_QUEUE'!E198,"")</x:f>
      </x:c>
      <x:c r="F198" s="30" t="str">
        <x:f>IF('MASTER_QUEUE'!$Y198="Ready",'MASTER_QUEUE'!F198,"")</x:f>
      </x:c>
      <x:c r="G198" s="30" t="str">
        <x:f>IF('MASTER_QUEUE'!$Y198="Ready",'MASTER_QUEUE'!G198,"")</x:f>
      </x:c>
      <x:c r="H198" s="99" t="str">
        <x:f>IF('MASTER_QUEUE'!$Y198="Ready",'MASTER_QUEUE'!H198,"")</x:f>
      </x:c>
    </x:row>
    <x:row r="199" ht="22" customHeight="1">
      <x:c r="A199" s="30" t="str">
        <x:f>IF('MASTER_QUEUE'!$Y199="Ready",'MASTER_QUEUE'!A199,"")</x:f>
      </x:c>
      <x:c r="B199" s="30" t="str">
        <x:f>IF('MASTER_QUEUE'!$Y199="Ready",'MASTER_QUEUE'!B199,"")</x:f>
      </x:c>
      <x:c r="C199" s="30" t="str">
        <x:f>IF('MASTER_QUEUE'!$Y199="Ready",'MASTER_QUEUE'!C199,"")</x:f>
      </x:c>
      <x:c r="D199" s="30" t="str">
        <x:f>IF('MASTER_QUEUE'!$Y199="Ready",'MASTER_QUEUE'!D199,"")</x:f>
      </x:c>
      <x:c r="E199" s="30" t="str">
        <x:f>IF('MASTER_QUEUE'!$Y199="Ready",'MASTER_QUEUE'!E199,"")</x:f>
      </x:c>
      <x:c r="F199" s="30" t="str">
        <x:f>IF('MASTER_QUEUE'!$Y199="Ready",'MASTER_QUEUE'!F199,"")</x:f>
      </x:c>
      <x:c r="G199" s="30" t="str">
        <x:f>IF('MASTER_QUEUE'!$Y199="Ready",'MASTER_QUEUE'!G199,"")</x:f>
      </x:c>
      <x:c r="H199" s="99" t="str">
        <x:f>IF('MASTER_QUEUE'!$Y199="Ready",'MASTER_QUEUE'!H199,"")</x:f>
      </x:c>
    </x:row>
    <x:row r="200" ht="22" customHeight="1">
      <x:c r="A200" s="30" t="str">
        <x:f>IF('MASTER_QUEUE'!$Y200="Ready",'MASTER_QUEUE'!A200,"")</x:f>
      </x:c>
      <x:c r="B200" s="30" t="str">
        <x:f>IF('MASTER_QUEUE'!$Y200="Ready",'MASTER_QUEUE'!B200,"")</x:f>
      </x:c>
      <x:c r="C200" s="30" t="str">
        <x:f>IF('MASTER_QUEUE'!$Y200="Ready",'MASTER_QUEUE'!C200,"")</x:f>
      </x:c>
      <x:c r="D200" s="30" t="str">
        <x:f>IF('MASTER_QUEUE'!$Y200="Ready",'MASTER_QUEUE'!D200,"")</x:f>
      </x:c>
      <x:c r="E200" s="30" t="str">
        <x:f>IF('MASTER_QUEUE'!$Y200="Ready",'MASTER_QUEUE'!E200,"")</x:f>
      </x:c>
      <x:c r="F200" s="30" t="str">
        <x:f>IF('MASTER_QUEUE'!$Y200="Ready",'MASTER_QUEUE'!F200,"")</x:f>
      </x:c>
      <x:c r="G200" s="30" t="str">
        <x:f>IF('MASTER_QUEUE'!$Y200="Ready",'MASTER_QUEUE'!G200,"")</x:f>
      </x:c>
      <x:c r="H200" s="99" t="str">
        <x:f>IF('MASTER_QUEUE'!$Y200="Ready",'MASTER_QUEUE'!H200,"")</x:f>
      </x:c>
    </x:row>
    <x:row r="201" ht="22" customHeight="1">
      <x:c r="A201" s="30" t="str">
        <x:f>IF('MASTER_QUEUE'!$Y201="Ready",'MASTER_QUEUE'!A201,"")</x:f>
      </x:c>
      <x:c r="B201" s="30" t="str">
        <x:f>IF('MASTER_QUEUE'!$Y201="Ready",'MASTER_QUEUE'!B201,"")</x:f>
      </x:c>
      <x:c r="C201" s="30" t="str">
        <x:f>IF('MASTER_QUEUE'!$Y201="Ready",'MASTER_QUEUE'!C201,"")</x:f>
      </x:c>
      <x:c r="D201" s="30" t="str">
        <x:f>IF('MASTER_QUEUE'!$Y201="Ready",'MASTER_QUEUE'!D201,"")</x:f>
      </x:c>
      <x:c r="E201" s="30" t="str">
        <x:f>IF('MASTER_QUEUE'!$Y201="Ready",'MASTER_QUEUE'!E201,"")</x:f>
      </x:c>
      <x:c r="F201" s="30" t="str">
        <x:f>IF('MASTER_QUEUE'!$Y201="Ready",'MASTER_QUEUE'!F201,"")</x:f>
      </x:c>
      <x:c r="G201" s="30" t="str">
        <x:f>IF('MASTER_QUEUE'!$Y201="Ready",'MASTER_QUEUE'!G201,"")</x:f>
      </x:c>
      <x:c r="H201" s="99" t="str">
        <x:f>IF('MASTER_QUEUE'!$Y201="Ready",'MASTER_QUEUE'!H201,"")</x:f>
      </x:c>
    </x:row>
    <x:row r="202" ht="22" customHeight="1">
      <x:c r="A202" s="30" t="str">
        <x:f>IF('MASTER_QUEUE'!$Y202="Ready",'MASTER_QUEUE'!A202,"")</x:f>
      </x:c>
      <x:c r="B202" s="30" t="str">
        <x:f>IF('MASTER_QUEUE'!$Y202="Ready",'MASTER_QUEUE'!B202,"")</x:f>
      </x:c>
      <x:c r="C202" s="30" t="str">
        <x:f>IF('MASTER_QUEUE'!$Y202="Ready",'MASTER_QUEUE'!C202,"")</x:f>
      </x:c>
      <x:c r="D202" s="30" t="str">
        <x:f>IF('MASTER_QUEUE'!$Y202="Ready",'MASTER_QUEUE'!D202,"")</x:f>
      </x:c>
      <x:c r="E202" s="30" t="str">
        <x:f>IF('MASTER_QUEUE'!$Y202="Ready",'MASTER_QUEUE'!E202,"")</x:f>
      </x:c>
      <x:c r="F202" s="30" t="str">
        <x:f>IF('MASTER_QUEUE'!$Y202="Ready",'MASTER_QUEUE'!F202,"")</x:f>
      </x:c>
      <x:c r="G202" s="30" t="str">
        <x:f>IF('MASTER_QUEUE'!$Y202="Ready",'MASTER_QUEUE'!G202,"")</x:f>
      </x:c>
      <x:c r="H202" s="99" t="str">
        <x:f>IF('MASTER_QUEUE'!$Y202="Ready",'MASTER_QUEUE'!H202,"")</x:f>
      </x:c>
    </x:row>
    <x:row r="203" ht="22" customHeight="1">
      <x:c r="A203" s="30" t="str">
        <x:f>IF('MASTER_QUEUE'!$Y203="Ready",'MASTER_QUEUE'!A203,"")</x:f>
      </x:c>
      <x:c r="B203" s="30" t="str">
        <x:f>IF('MASTER_QUEUE'!$Y203="Ready",'MASTER_QUEUE'!B203,"")</x:f>
      </x:c>
      <x:c r="C203" s="30" t="str">
        <x:f>IF('MASTER_QUEUE'!$Y203="Ready",'MASTER_QUEUE'!C203,"")</x:f>
      </x:c>
      <x:c r="D203" s="30" t="str">
        <x:f>IF('MASTER_QUEUE'!$Y203="Ready",'MASTER_QUEUE'!D203,"")</x:f>
      </x:c>
      <x:c r="E203" s="30" t="str">
        <x:f>IF('MASTER_QUEUE'!$Y203="Ready",'MASTER_QUEUE'!E203,"")</x:f>
      </x:c>
      <x:c r="F203" s="30" t="str">
        <x:f>IF('MASTER_QUEUE'!$Y203="Ready",'MASTER_QUEUE'!F203,"")</x:f>
      </x:c>
      <x:c r="G203" s="30" t="str">
        <x:f>IF('MASTER_QUEUE'!$Y203="Ready",'MASTER_QUEUE'!G203,"")</x:f>
      </x:c>
      <x:c r="H203" s="99" t="str">
        <x:f>IF('MASTER_QUEUE'!$Y203="Ready",'MASTER_QUEUE'!H203,"")</x:f>
      </x:c>
    </x:row>
    <x:row r="204" ht="22" customHeight="1">
      <x:c r="A204" s="30" t="str">
        <x:f>IF('MASTER_QUEUE'!$Y204="Ready",'MASTER_QUEUE'!A204,"")</x:f>
      </x:c>
      <x:c r="B204" s="30" t="str">
        <x:f>IF('MASTER_QUEUE'!$Y204="Ready",'MASTER_QUEUE'!B204,"")</x:f>
      </x:c>
      <x:c r="C204" s="30" t="str">
        <x:f>IF('MASTER_QUEUE'!$Y204="Ready",'MASTER_QUEUE'!C204,"")</x:f>
      </x:c>
      <x:c r="D204" s="30" t="str">
        <x:f>IF('MASTER_QUEUE'!$Y204="Ready",'MASTER_QUEUE'!D204,"")</x:f>
      </x:c>
      <x:c r="E204" s="30" t="str">
        <x:f>IF('MASTER_QUEUE'!$Y204="Ready",'MASTER_QUEUE'!E204,"")</x:f>
      </x:c>
      <x:c r="F204" s="30" t="str">
        <x:f>IF('MASTER_QUEUE'!$Y204="Ready",'MASTER_QUEUE'!F204,"")</x:f>
      </x:c>
      <x:c r="G204" s="30" t="str">
        <x:f>IF('MASTER_QUEUE'!$Y204="Ready",'MASTER_QUEUE'!G204,"")</x:f>
      </x:c>
      <x:c r="H204" s="99" t="str">
        <x:f>IF('MASTER_QUEUE'!$Y204="Ready",'MASTER_QUEUE'!H204,"")</x:f>
      </x:c>
    </x:row>
    <x:row r="205" ht="22" customHeight="1">
      <x:c r="A205" s="30" t="str">
        <x:f>IF('MASTER_QUEUE'!$Y205="Ready",'MASTER_QUEUE'!A205,"")</x:f>
      </x:c>
      <x:c r="B205" s="30" t="str">
        <x:f>IF('MASTER_QUEUE'!$Y205="Ready",'MASTER_QUEUE'!B205,"")</x:f>
      </x:c>
      <x:c r="C205" s="30" t="str">
        <x:f>IF('MASTER_QUEUE'!$Y205="Ready",'MASTER_QUEUE'!C205,"")</x:f>
      </x:c>
      <x:c r="D205" s="30" t="str">
        <x:f>IF('MASTER_QUEUE'!$Y205="Ready",'MASTER_QUEUE'!D205,"")</x:f>
      </x:c>
      <x:c r="E205" s="30" t="str">
        <x:f>IF('MASTER_QUEUE'!$Y205="Ready",'MASTER_QUEUE'!E205,"")</x:f>
      </x:c>
      <x:c r="F205" s="30" t="str">
        <x:f>IF('MASTER_QUEUE'!$Y205="Ready",'MASTER_QUEUE'!F205,"")</x:f>
      </x:c>
      <x:c r="G205" s="30" t="str">
        <x:f>IF('MASTER_QUEUE'!$Y205="Ready",'MASTER_QUEUE'!G205,"")</x:f>
      </x:c>
      <x:c r="H205" s="99" t="str">
        <x:f>IF('MASTER_QUEUE'!$Y205="Ready",'MASTER_QUEUE'!H205,"")</x:f>
      </x:c>
    </x:row>
    <x:row r="206" ht="22" customHeight="1">
      <x:c r="A206" s="30" t="str">
        <x:f>IF('MASTER_QUEUE'!$Y206="Ready",'MASTER_QUEUE'!A206,"")</x:f>
      </x:c>
      <x:c r="B206" s="30" t="str">
        <x:f>IF('MASTER_QUEUE'!$Y206="Ready",'MASTER_QUEUE'!B206,"")</x:f>
      </x:c>
      <x:c r="C206" s="30" t="str">
        <x:f>IF('MASTER_QUEUE'!$Y206="Ready",'MASTER_QUEUE'!C206,"")</x:f>
      </x:c>
      <x:c r="D206" s="30" t="str">
        <x:f>IF('MASTER_QUEUE'!$Y206="Ready",'MASTER_QUEUE'!D206,"")</x:f>
      </x:c>
      <x:c r="E206" s="30" t="str">
        <x:f>IF('MASTER_QUEUE'!$Y206="Ready",'MASTER_QUEUE'!E206,"")</x:f>
      </x:c>
      <x:c r="F206" s="30" t="str">
        <x:f>IF('MASTER_QUEUE'!$Y206="Ready",'MASTER_QUEUE'!F206,"")</x:f>
      </x:c>
      <x:c r="G206" s="30" t="str">
        <x:f>IF('MASTER_QUEUE'!$Y206="Ready",'MASTER_QUEUE'!G206,"")</x:f>
      </x:c>
      <x:c r="H206" s="99" t="str">
        <x:f>IF('MASTER_QUEUE'!$Y206="Ready",'MASTER_QUEUE'!H206,"")</x:f>
      </x:c>
    </x:row>
    <x:row r="207" ht="22" customHeight="1">
      <x:c r="A207" s="30" t="str">
        <x:f>IF('MASTER_QUEUE'!$Y207="Ready",'MASTER_QUEUE'!A207,"")</x:f>
      </x:c>
      <x:c r="B207" s="30" t="str">
        <x:f>IF('MASTER_QUEUE'!$Y207="Ready",'MASTER_QUEUE'!B207,"")</x:f>
      </x:c>
      <x:c r="C207" s="30" t="str">
        <x:f>IF('MASTER_QUEUE'!$Y207="Ready",'MASTER_QUEUE'!C207,"")</x:f>
      </x:c>
      <x:c r="D207" s="30" t="str">
        <x:f>IF('MASTER_QUEUE'!$Y207="Ready",'MASTER_QUEUE'!D207,"")</x:f>
      </x:c>
      <x:c r="E207" s="30" t="str">
        <x:f>IF('MASTER_QUEUE'!$Y207="Ready",'MASTER_QUEUE'!E207,"")</x:f>
      </x:c>
      <x:c r="F207" s="30" t="str">
        <x:f>IF('MASTER_QUEUE'!$Y207="Ready",'MASTER_QUEUE'!F207,"")</x:f>
      </x:c>
      <x:c r="G207" s="30" t="str">
        <x:f>IF('MASTER_QUEUE'!$Y207="Ready",'MASTER_QUEUE'!G207,"")</x:f>
      </x:c>
      <x:c r="H207" s="99" t="str">
        <x:f>IF('MASTER_QUEUE'!$Y207="Ready",'MASTER_QUEUE'!H207,"")</x:f>
      </x:c>
    </x:row>
    <x:row r="208" ht="22" customHeight="1">
      <x:c r="A208" s="30" t="str">
        <x:f>IF('MASTER_QUEUE'!$Y208="Ready",'MASTER_QUEUE'!A208,"")</x:f>
      </x:c>
      <x:c r="B208" s="30" t="str">
        <x:f>IF('MASTER_QUEUE'!$Y208="Ready",'MASTER_QUEUE'!B208,"")</x:f>
      </x:c>
      <x:c r="C208" s="30" t="str">
        <x:f>IF('MASTER_QUEUE'!$Y208="Ready",'MASTER_QUEUE'!C208,"")</x:f>
      </x:c>
      <x:c r="D208" s="30" t="str">
        <x:f>IF('MASTER_QUEUE'!$Y208="Ready",'MASTER_QUEUE'!D208,"")</x:f>
      </x:c>
      <x:c r="E208" s="30" t="str">
        <x:f>IF('MASTER_QUEUE'!$Y208="Ready",'MASTER_QUEUE'!E208,"")</x:f>
      </x:c>
      <x:c r="F208" s="30" t="str">
        <x:f>IF('MASTER_QUEUE'!$Y208="Ready",'MASTER_QUEUE'!F208,"")</x:f>
      </x:c>
      <x:c r="G208" s="30" t="str">
        <x:f>IF('MASTER_QUEUE'!$Y208="Ready",'MASTER_QUEUE'!G208,"")</x:f>
      </x:c>
      <x:c r="H208" s="99" t="str">
        <x:f>IF('MASTER_QUEUE'!$Y208="Ready",'MASTER_QUEUE'!H208,"")</x:f>
      </x:c>
    </x:row>
    <x:row r="209" ht="22" customHeight="1">
      <x:c r="A209" s="30" t="str">
        <x:f>IF('MASTER_QUEUE'!$Y209="Ready",'MASTER_QUEUE'!A209,"")</x:f>
      </x:c>
      <x:c r="B209" s="30" t="str">
        <x:f>IF('MASTER_QUEUE'!$Y209="Ready",'MASTER_QUEUE'!B209,"")</x:f>
      </x:c>
      <x:c r="C209" s="30" t="str">
        <x:f>IF('MASTER_QUEUE'!$Y209="Ready",'MASTER_QUEUE'!C209,"")</x:f>
      </x:c>
      <x:c r="D209" s="30" t="str">
        <x:f>IF('MASTER_QUEUE'!$Y209="Ready",'MASTER_QUEUE'!D209,"")</x:f>
      </x:c>
      <x:c r="E209" s="30" t="str">
        <x:f>IF('MASTER_QUEUE'!$Y209="Ready",'MASTER_QUEUE'!E209,"")</x:f>
      </x:c>
      <x:c r="F209" s="30" t="str">
        <x:f>IF('MASTER_QUEUE'!$Y209="Ready",'MASTER_QUEUE'!F209,"")</x:f>
      </x:c>
      <x:c r="G209" s="30" t="str">
        <x:f>IF('MASTER_QUEUE'!$Y209="Ready",'MASTER_QUEUE'!G209,"")</x:f>
      </x:c>
      <x:c r="H209" s="99" t="str">
        <x:f>IF('MASTER_QUEUE'!$Y209="Ready",'MASTER_QUEUE'!H209,"")</x:f>
      </x:c>
    </x:row>
    <x:row r="210" ht="22" customHeight="1">
      <x:c r="A210" s="30" t="str">
        <x:f>IF('MASTER_QUEUE'!$Y210="Ready",'MASTER_QUEUE'!A210,"")</x:f>
      </x:c>
      <x:c r="B210" s="30" t="str">
        <x:f>IF('MASTER_QUEUE'!$Y210="Ready",'MASTER_QUEUE'!B210,"")</x:f>
      </x:c>
      <x:c r="C210" s="30" t="str">
        <x:f>IF('MASTER_QUEUE'!$Y210="Ready",'MASTER_QUEUE'!C210,"")</x:f>
      </x:c>
      <x:c r="D210" s="30" t="str">
        <x:f>IF('MASTER_QUEUE'!$Y210="Ready",'MASTER_QUEUE'!D210,"")</x:f>
      </x:c>
      <x:c r="E210" s="30" t="str">
        <x:f>IF('MASTER_QUEUE'!$Y210="Ready",'MASTER_QUEUE'!E210,"")</x:f>
      </x:c>
      <x:c r="F210" s="30" t="str">
        <x:f>IF('MASTER_QUEUE'!$Y210="Ready",'MASTER_QUEUE'!F210,"")</x:f>
      </x:c>
      <x:c r="G210" s="30" t="str">
        <x:f>IF('MASTER_QUEUE'!$Y210="Ready",'MASTER_QUEUE'!G210,"")</x:f>
      </x:c>
      <x:c r="H210" s="99" t="str">
        <x:f>IF('MASTER_QUEUE'!$Y210="Ready",'MASTER_QUEUE'!H210,"")</x:f>
      </x:c>
    </x:row>
    <x:row r="211" ht="22" customHeight="1">
      <x:c r="A211" s="30" t="str">
        <x:f>IF('MASTER_QUEUE'!$Y211="Ready",'MASTER_QUEUE'!A211,"")</x:f>
      </x:c>
      <x:c r="B211" s="30" t="str">
        <x:f>IF('MASTER_QUEUE'!$Y211="Ready",'MASTER_QUEUE'!B211,"")</x:f>
      </x:c>
      <x:c r="C211" s="30" t="str">
        <x:f>IF('MASTER_QUEUE'!$Y211="Ready",'MASTER_QUEUE'!C211,"")</x:f>
      </x:c>
      <x:c r="D211" s="30" t="str">
        <x:f>IF('MASTER_QUEUE'!$Y211="Ready",'MASTER_QUEUE'!D211,"")</x:f>
      </x:c>
      <x:c r="E211" s="30" t="str">
        <x:f>IF('MASTER_QUEUE'!$Y211="Ready",'MASTER_QUEUE'!E211,"")</x:f>
      </x:c>
      <x:c r="F211" s="30" t="str">
        <x:f>IF('MASTER_QUEUE'!$Y211="Ready",'MASTER_QUEUE'!F211,"")</x:f>
      </x:c>
      <x:c r="G211" s="30" t="str">
        <x:f>IF('MASTER_QUEUE'!$Y211="Ready",'MASTER_QUEUE'!G211,"")</x:f>
      </x:c>
      <x:c r="H211" s="99" t="str">
        <x:f>IF('MASTER_QUEUE'!$Y211="Ready",'MASTER_QUEUE'!H211,"")</x:f>
      </x:c>
    </x:row>
    <x:row r="212" ht="22" customHeight="1">
      <x:c r="A212" s="30" t="str">
        <x:f>IF('MASTER_QUEUE'!$Y212="Ready",'MASTER_QUEUE'!A212,"")</x:f>
      </x:c>
      <x:c r="B212" s="30" t="str">
        <x:f>IF('MASTER_QUEUE'!$Y212="Ready",'MASTER_QUEUE'!B212,"")</x:f>
      </x:c>
      <x:c r="C212" s="30" t="str">
        <x:f>IF('MASTER_QUEUE'!$Y212="Ready",'MASTER_QUEUE'!C212,"")</x:f>
      </x:c>
      <x:c r="D212" s="30" t="str">
        <x:f>IF('MASTER_QUEUE'!$Y212="Ready",'MASTER_QUEUE'!D212,"")</x:f>
      </x:c>
      <x:c r="E212" s="30" t="str">
        <x:f>IF('MASTER_QUEUE'!$Y212="Ready",'MASTER_QUEUE'!E212,"")</x:f>
      </x:c>
      <x:c r="F212" s="30" t="str">
        <x:f>IF('MASTER_QUEUE'!$Y212="Ready",'MASTER_QUEUE'!F212,"")</x:f>
      </x:c>
      <x:c r="G212" s="30" t="str">
        <x:f>IF('MASTER_QUEUE'!$Y212="Ready",'MASTER_QUEUE'!G212,"")</x:f>
      </x:c>
      <x:c r="H212" s="99" t="str">
        <x:f>IF('MASTER_QUEUE'!$Y212="Ready",'MASTER_QUEUE'!H212,"")</x:f>
      </x:c>
    </x:row>
    <x:row r="213" ht="22" customHeight="1">
      <x:c r="A213" s="30" t="str">
        <x:f>IF('MASTER_QUEUE'!$Y213="Ready",'MASTER_QUEUE'!A213,"")</x:f>
      </x:c>
      <x:c r="B213" s="30" t="str">
        <x:f>IF('MASTER_QUEUE'!$Y213="Ready",'MASTER_QUEUE'!B213,"")</x:f>
      </x:c>
      <x:c r="C213" s="30" t="str">
        <x:f>IF('MASTER_QUEUE'!$Y213="Ready",'MASTER_QUEUE'!C213,"")</x:f>
      </x:c>
      <x:c r="D213" s="30" t="str">
        <x:f>IF('MASTER_QUEUE'!$Y213="Ready",'MASTER_QUEUE'!D213,"")</x:f>
      </x:c>
      <x:c r="E213" s="30" t="str">
        <x:f>IF('MASTER_QUEUE'!$Y213="Ready",'MASTER_QUEUE'!E213,"")</x:f>
      </x:c>
      <x:c r="F213" s="30" t="str">
        <x:f>IF('MASTER_QUEUE'!$Y213="Ready",'MASTER_QUEUE'!F213,"")</x:f>
      </x:c>
      <x:c r="G213" s="30" t="str">
        <x:f>IF('MASTER_QUEUE'!$Y213="Ready",'MASTER_QUEUE'!G213,"")</x:f>
      </x:c>
      <x:c r="H213" s="99" t="str">
        <x:f>IF('MASTER_QUEUE'!$Y213="Ready",'MASTER_QUEUE'!H213,"")</x:f>
      </x:c>
    </x:row>
    <x:row r="214" ht="22" customHeight="1">
      <x:c r="A214" s="30" t="str">
        <x:f>IF('MASTER_QUEUE'!$Y214="Ready",'MASTER_QUEUE'!A214,"")</x:f>
      </x:c>
      <x:c r="B214" s="30" t="str">
        <x:f>IF('MASTER_QUEUE'!$Y214="Ready",'MASTER_QUEUE'!B214,"")</x:f>
      </x:c>
      <x:c r="C214" s="30" t="str">
        <x:f>IF('MASTER_QUEUE'!$Y214="Ready",'MASTER_QUEUE'!C214,"")</x:f>
      </x:c>
      <x:c r="D214" s="30" t="str">
        <x:f>IF('MASTER_QUEUE'!$Y214="Ready",'MASTER_QUEUE'!D214,"")</x:f>
      </x:c>
      <x:c r="E214" s="30" t="str">
        <x:f>IF('MASTER_QUEUE'!$Y214="Ready",'MASTER_QUEUE'!E214,"")</x:f>
      </x:c>
      <x:c r="F214" s="30" t="str">
        <x:f>IF('MASTER_QUEUE'!$Y214="Ready",'MASTER_QUEUE'!F214,"")</x:f>
      </x:c>
      <x:c r="G214" s="30" t="str">
        <x:f>IF('MASTER_QUEUE'!$Y214="Ready",'MASTER_QUEUE'!G214,"")</x:f>
      </x:c>
      <x:c r="H214" s="99" t="str">
        <x:f>IF('MASTER_QUEUE'!$Y214="Ready",'MASTER_QUEUE'!H214,"")</x:f>
      </x:c>
    </x:row>
    <x:row r="215" ht="22" customHeight="1">
      <x:c r="A215" s="30" t="str">
        <x:f>IF('MASTER_QUEUE'!$Y215="Ready",'MASTER_QUEUE'!A215,"")</x:f>
      </x:c>
      <x:c r="B215" s="30" t="str">
        <x:f>IF('MASTER_QUEUE'!$Y215="Ready",'MASTER_QUEUE'!B215,"")</x:f>
      </x:c>
      <x:c r="C215" s="30" t="str">
        <x:f>IF('MASTER_QUEUE'!$Y215="Ready",'MASTER_QUEUE'!C215,"")</x:f>
      </x:c>
      <x:c r="D215" s="30" t="str">
        <x:f>IF('MASTER_QUEUE'!$Y215="Ready",'MASTER_QUEUE'!D215,"")</x:f>
      </x:c>
      <x:c r="E215" s="30" t="str">
        <x:f>IF('MASTER_QUEUE'!$Y215="Ready",'MASTER_QUEUE'!E215,"")</x:f>
      </x:c>
      <x:c r="F215" s="30" t="str">
        <x:f>IF('MASTER_QUEUE'!$Y215="Ready",'MASTER_QUEUE'!F215,"")</x:f>
      </x:c>
      <x:c r="G215" s="30" t="str">
        <x:f>IF('MASTER_QUEUE'!$Y215="Ready",'MASTER_QUEUE'!G215,"")</x:f>
      </x:c>
      <x:c r="H215" s="99" t="str">
        <x:f>IF('MASTER_QUEUE'!$Y215="Ready",'MASTER_QUEUE'!H215,"")</x:f>
      </x:c>
    </x:row>
    <x:row r="216" ht="22" customHeight="1">
      <x:c r="A216" s="30" t="str">
        <x:f>IF('MASTER_QUEUE'!$Y216="Ready",'MASTER_QUEUE'!A216,"")</x:f>
      </x:c>
      <x:c r="B216" s="30" t="str">
        <x:f>IF('MASTER_QUEUE'!$Y216="Ready",'MASTER_QUEUE'!B216,"")</x:f>
      </x:c>
      <x:c r="C216" s="30" t="str">
        <x:f>IF('MASTER_QUEUE'!$Y216="Ready",'MASTER_QUEUE'!C216,"")</x:f>
      </x:c>
      <x:c r="D216" s="30" t="str">
        <x:f>IF('MASTER_QUEUE'!$Y216="Ready",'MASTER_QUEUE'!D216,"")</x:f>
      </x:c>
      <x:c r="E216" s="30" t="str">
        <x:f>IF('MASTER_QUEUE'!$Y216="Ready",'MASTER_QUEUE'!E216,"")</x:f>
      </x:c>
      <x:c r="F216" s="30" t="str">
        <x:f>IF('MASTER_QUEUE'!$Y216="Ready",'MASTER_QUEUE'!F216,"")</x:f>
      </x:c>
      <x:c r="G216" s="30" t="str">
        <x:f>IF('MASTER_QUEUE'!$Y216="Ready",'MASTER_QUEUE'!G216,"")</x:f>
      </x:c>
      <x:c r="H216" s="99" t="str">
        <x:f>IF('MASTER_QUEUE'!$Y216="Ready",'MASTER_QUEUE'!H216,"")</x:f>
      </x:c>
    </x:row>
    <x:row r="217" ht="22" customHeight="1">
      <x:c r="A217" s="30" t="str">
        <x:f>IF('MASTER_QUEUE'!$Y217="Ready",'MASTER_QUEUE'!A217,"")</x:f>
      </x:c>
      <x:c r="B217" s="30" t="str">
        <x:f>IF('MASTER_QUEUE'!$Y217="Ready",'MASTER_QUEUE'!B217,"")</x:f>
      </x:c>
      <x:c r="C217" s="30" t="str">
        <x:f>IF('MASTER_QUEUE'!$Y217="Ready",'MASTER_QUEUE'!C217,"")</x:f>
      </x:c>
      <x:c r="D217" s="30" t="str">
        <x:f>IF('MASTER_QUEUE'!$Y217="Ready",'MASTER_QUEUE'!D217,"")</x:f>
      </x:c>
      <x:c r="E217" s="30" t="str">
        <x:f>IF('MASTER_QUEUE'!$Y217="Ready",'MASTER_QUEUE'!E217,"")</x:f>
      </x:c>
      <x:c r="F217" s="30" t="str">
        <x:f>IF('MASTER_QUEUE'!$Y217="Ready",'MASTER_QUEUE'!F217,"")</x:f>
      </x:c>
      <x:c r="G217" s="30" t="str">
        <x:f>IF('MASTER_QUEUE'!$Y217="Ready",'MASTER_QUEUE'!G217,"")</x:f>
      </x:c>
      <x:c r="H217" s="99" t="str">
        <x:f>IF('MASTER_QUEUE'!$Y217="Ready",'MASTER_QUEUE'!H217,"")</x:f>
      </x:c>
    </x:row>
    <x:row r="218" ht="22" customHeight="1">
      <x:c r="A218" s="30" t="str">
        <x:f>IF('MASTER_QUEUE'!$Y218="Ready",'MASTER_QUEUE'!A218,"")</x:f>
      </x:c>
      <x:c r="B218" s="30" t="str">
        <x:f>IF('MASTER_QUEUE'!$Y218="Ready",'MASTER_QUEUE'!B218,"")</x:f>
      </x:c>
      <x:c r="C218" s="30" t="str">
        <x:f>IF('MASTER_QUEUE'!$Y218="Ready",'MASTER_QUEUE'!C218,"")</x:f>
      </x:c>
      <x:c r="D218" s="30" t="str">
        <x:f>IF('MASTER_QUEUE'!$Y218="Ready",'MASTER_QUEUE'!D218,"")</x:f>
      </x:c>
      <x:c r="E218" s="30" t="str">
        <x:f>IF('MASTER_QUEUE'!$Y218="Ready",'MASTER_QUEUE'!E218,"")</x:f>
      </x:c>
      <x:c r="F218" s="30" t="str">
        <x:f>IF('MASTER_QUEUE'!$Y218="Ready",'MASTER_QUEUE'!F218,"")</x:f>
      </x:c>
      <x:c r="G218" s="30" t="str">
        <x:f>IF('MASTER_QUEUE'!$Y218="Ready",'MASTER_QUEUE'!G218,"")</x:f>
      </x:c>
      <x:c r="H218" s="99" t="str">
        <x:f>IF('MASTER_QUEUE'!$Y218="Ready",'MASTER_QUEUE'!H218,"")</x:f>
      </x:c>
    </x:row>
    <x:row r="219" ht="22" customHeight="1">
      <x:c r="A219" s="30" t="str">
        <x:f>IF('MASTER_QUEUE'!$Y219="Ready",'MASTER_QUEUE'!A219,"")</x:f>
      </x:c>
      <x:c r="B219" s="30" t="str">
        <x:f>IF('MASTER_QUEUE'!$Y219="Ready",'MASTER_QUEUE'!B219,"")</x:f>
      </x:c>
      <x:c r="C219" s="30" t="str">
        <x:f>IF('MASTER_QUEUE'!$Y219="Ready",'MASTER_QUEUE'!C219,"")</x:f>
      </x:c>
      <x:c r="D219" s="30" t="str">
        <x:f>IF('MASTER_QUEUE'!$Y219="Ready",'MASTER_QUEUE'!D219,"")</x:f>
      </x:c>
      <x:c r="E219" s="30" t="str">
        <x:f>IF('MASTER_QUEUE'!$Y219="Ready",'MASTER_QUEUE'!E219,"")</x:f>
      </x:c>
      <x:c r="F219" s="30" t="str">
        <x:f>IF('MASTER_QUEUE'!$Y219="Ready",'MASTER_QUEUE'!F219,"")</x:f>
      </x:c>
      <x:c r="G219" s="30" t="str">
        <x:f>IF('MASTER_QUEUE'!$Y219="Ready",'MASTER_QUEUE'!G219,"")</x:f>
      </x:c>
      <x:c r="H219" s="99" t="str">
        <x:f>IF('MASTER_QUEUE'!$Y219="Ready",'MASTER_QUEUE'!H219,"")</x:f>
      </x:c>
    </x:row>
    <x:row r="220" ht="22" customHeight="1">
      <x:c r="A220" s="30" t="str">
        <x:f>IF('MASTER_QUEUE'!$Y220="Ready",'MASTER_QUEUE'!A220,"")</x:f>
      </x:c>
      <x:c r="B220" s="30" t="str">
        <x:f>IF('MASTER_QUEUE'!$Y220="Ready",'MASTER_QUEUE'!B220,"")</x:f>
      </x:c>
      <x:c r="C220" s="30" t="str">
        <x:f>IF('MASTER_QUEUE'!$Y220="Ready",'MASTER_QUEUE'!C220,"")</x:f>
      </x:c>
      <x:c r="D220" s="30" t="str">
        <x:f>IF('MASTER_QUEUE'!$Y220="Ready",'MASTER_QUEUE'!D220,"")</x:f>
      </x:c>
      <x:c r="E220" s="30" t="str">
        <x:f>IF('MASTER_QUEUE'!$Y220="Ready",'MASTER_QUEUE'!E220,"")</x:f>
      </x:c>
      <x:c r="F220" s="30" t="str">
        <x:f>IF('MASTER_QUEUE'!$Y220="Ready",'MASTER_QUEUE'!F220,"")</x:f>
      </x:c>
      <x:c r="G220" s="30" t="str">
        <x:f>IF('MASTER_QUEUE'!$Y220="Ready",'MASTER_QUEUE'!G220,"")</x:f>
      </x:c>
      <x:c r="H220" s="99" t="str">
        <x:f>IF('MASTER_QUEUE'!$Y220="Ready",'MASTER_QUEUE'!H220,"")</x:f>
      </x:c>
    </x:row>
    <x:row r="221" ht="22" customHeight="1">
      <x:c r="A221" s="30" t="str">
        <x:f>IF('MASTER_QUEUE'!$Y221="Ready",'MASTER_QUEUE'!A221,"")</x:f>
      </x:c>
      <x:c r="B221" s="30" t="str">
        <x:f>IF('MASTER_QUEUE'!$Y221="Ready",'MASTER_QUEUE'!B221,"")</x:f>
      </x:c>
      <x:c r="C221" s="30" t="str">
        <x:f>IF('MASTER_QUEUE'!$Y221="Ready",'MASTER_QUEUE'!C221,"")</x:f>
      </x:c>
      <x:c r="D221" s="30" t="str">
        <x:f>IF('MASTER_QUEUE'!$Y221="Ready",'MASTER_QUEUE'!D221,"")</x:f>
      </x:c>
      <x:c r="E221" s="30" t="str">
        <x:f>IF('MASTER_QUEUE'!$Y221="Ready",'MASTER_QUEUE'!E221,"")</x:f>
      </x:c>
      <x:c r="F221" s="30" t="str">
        <x:f>IF('MASTER_QUEUE'!$Y221="Ready",'MASTER_QUEUE'!F221,"")</x:f>
      </x:c>
      <x:c r="G221" s="30" t="str">
        <x:f>IF('MASTER_QUEUE'!$Y221="Ready",'MASTER_QUEUE'!G221,"")</x:f>
      </x:c>
      <x:c r="H221" s="99" t="str">
        <x:f>IF('MASTER_QUEUE'!$Y221="Ready",'MASTER_QUEUE'!H221,"")</x:f>
      </x:c>
    </x:row>
    <x:row r="222" ht="22" customHeight="1">
      <x:c r="A222" s="30" t="str">
        <x:f>IF('MASTER_QUEUE'!$Y222="Ready",'MASTER_QUEUE'!A222,"")</x:f>
      </x:c>
      <x:c r="B222" s="30" t="str">
        <x:f>IF('MASTER_QUEUE'!$Y222="Ready",'MASTER_QUEUE'!B222,"")</x:f>
      </x:c>
      <x:c r="C222" s="30" t="str">
        <x:f>IF('MASTER_QUEUE'!$Y222="Ready",'MASTER_QUEUE'!C222,"")</x:f>
      </x:c>
      <x:c r="D222" s="30" t="str">
        <x:f>IF('MASTER_QUEUE'!$Y222="Ready",'MASTER_QUEUE'!D222,"")</x:f>
      </x:c>
      <x:c r="E222" s="30" t="str">
        <x:f>IF('MASTER_QUEUE'!$Y222="Ready",'MASTER_QUEUE'!E222,"")</x:f>
      </x:c>
      <x:c r="F222" s="30" t="str">
        <x:f>IF('MASTER_QUEUE'!$Y222="Ready",'MASTER_QUEUE'!F222,"")</x:f>
      </x:c>
      <x:c r="G222" s="30" t="str">
        <x:f>IF('MASTER_QUEUE'!$Y222="Ready",'MASTER_QUEUE'!G222,"")</x:f>
      </x:c>
      <x:c r="H222" s="99" t="str">
        <x:f>IF('MASTER_QUEUE'!$Y222="Ready",'MASTER_QUEUE'!H222,"")</x:f>
      </x:c>
    </x:row>
    <x:row r="223" ht="22" customHeight="1">
      <x:c r="A223" s="30" t="str">
        <x:f>IF('MASTER_QUEUE'!$Y223="Ready",'MASTER_QUEUE'!A223,"")</x:f>
      </x:c>
      <x:c r="B223" s="30" t="str">
        <x:f>IF('MASTER_QUEUE'!$Y223="Ready",'MASTER_QUEUE'!B223,"")</x:f>
      </x:c>
      <x:c r="C223" s="30" t="str">
        <x:f>IF('MASTER_QUEUE'!$Y223="Ready",'MASTER_QUEUE'!C223,"")</x:f>
      </x:c>
      <x:c r="D223" s="30" t="str">
        <x:f>IF('MASTER_QUEUE'!$Y223="Ready",'MASTER_QUEUE'!D223,"")</x:f>
      </x:c>
      <x:c r="E223" s="30" t="str">
        <x:f>IF('MASTER_QUEUE'!$Y223="Ready",'MASTER_QUEUE'!E223,"")</x:f>
      </x:c>
      <x:c r="F223" s="30" t="str">
        <x:f>IF('MASTER_QUEUE'!$Y223="Ready",'MASTER_QUEUE'!F223,"")</x:f>
      </x:c>
      <x:c r="G223" s="30" t="str">
        <x:f>IF('MASTER_QUEUE'!$Y223="Ready",'MASTER_QUEUE'!G223,"")</x:f>
      </x:c>
      <x:c r="H223" s="99" t="str">
        <x:f>IF('MASTER_QUEUE'!$Y223="Ready",'MASTER_QUEUE'!H223,"")</x:f>
      </x:c>
    </x:row>
    <x:row r="224" ht="22" customHeight="1">
      <x:c r="A224" s="30" t="str">
        <x:f>IF('MASTER_QUEUE'!$Y224="Ready",'MASTER_QUEUE'!A224,"")</x:f>
      </x:c>
      <x:c r="B224" s="30" t="str">
        <x:f>IF('MASTER_QUEUE'!$Y224="Ready",'MASTER_QUEUE'!B224,"")</x:f>
      </x:c>
      <x:c r="C224" s="30" t="str">
        <x:f>IF('MASTER_QUEUE'!$Y224="Ready",'MASTER_QUEUE'!C224,"")</x:f>
      </x:c>
      <x:c r="D224" s="30" t="str">
        <x:f>IF('MASTER_QUEUE'!$Y224="Ready",'MASTER_QUEUE'!D224,"")</x:f>
      </x:c>
      <x:c r="E224" s="30" t="str">
        <x:f>IF('MASTER_QUEUE'!$Y224="Ready",'MASTER_QUEUE'!E224,"")</x:f>
      </x:c>
      <x:c r="F224" s="30" t="str">
        <x:f>IF('MASTER_QUEUE'!$Y224="Ready",'MASTER_QUEUE'!F224,"")</x:f>
      </x:c>
      <x:c r="G224" s="30" t="str">
        <x:f>IF('MASTER_QUEUE'!$Y224="Ready",'MASTER_QUEUE'!G224,"")</x:f>
      </x:c>
      <x:c r="H224" s="99" t="str">
        <x:f>IF('MASTER_QUEUE'!$Y224="Ready",'MASTER_QUEUE'!H224,"")</x:f>
      </x:c>
    </x:row>
    <x:row r="225" ht="22" customHeight="1">
      <x:c r="A225" s="30" t="str">
        <x:f>IF('MASTER_QUEUE'!$Y225="Ready",'MASTER_QUEUE'!A225,"")</x:f>
      </x:c>
      <x:c r="B225" s="30" t="str">
        <x:f>IF('MASTER_QUEUE'!$Y225="Ready",'MASTER_QUEUE'!B225,"")</x:f>
      </x:c>
      <x:c r="C225" s="30" t="str">
        <x:f>IF('MASTER_QUEUE'!$Y225="Ready",'MASTER_QUEUE'!C225,"")</x:f>
      </x:c>
      <x:c r="D225" s="30" t="str">
        <x:f>IF('MASTER_QUEUE'!$Y225="Ready",'MASTER_QUEUE'!D225,"")</x:f>
      </x:c>
      <x:c r="E225" s="30" t="str">
        <x:f>IF('MASTER_QUEUE'!$Y225="Ready",'MASTER_QUEUE'!E225,"")</x:f>
      </x:c>
      <x:c r="F225" s="30" t="str">
        <x:f>IF('MASTER_QUEUE'!$Y225="Ready",'MASTER_QUEUE'!F225,"")</x:f>
      </x:c>
      <x:c r="G225" s="30" t="str">
        <x:f>IF('MASTER_QUEUE'!$Y225="Ready",'MASTER_QUEUE'!G225,"")</x:f>
      </x:c>
      <x:c r="H225" s="99" t="str">
        <x:f>IF('MASTER_QUEUE'!$Y225="Ready",'MASTER_QUEUE'!H225,"")</x:f>
      </x:c>
    </x:row>
    <x:row r="226" ht="22" customHeight="1">
      <x:c r="A226" s="30" t="str">
        <x:f>IF('MASTER_QUEUE'!$Y226="Ready",'MASTER_QUEUE'!A226,"")</x:f>
      </x:c>
      <x:c r="B226" s="30" t="str">
        <x:f>IF('MASTER_QUEUE'!$Y226="Ready",'MASTER_QUEUE'!B226,"")</x:f>
      </x:c>
      <x:c r="C226" s="30" t="str">
        <x:f>IF('MASTER_QUEUE'!$Y226="Ready",'MASTER_QUEUE'!C226,"")</x:f>
      </x:c>
      <x:c r="D226" s="30" t="str">
        <x:f>IF('MASTER_QUEUE'!$Y226="Ready",'MASTER_QUEUE'!D226,"")</x:f>
      </x:c>
      <x:c r="E226" s="30" t="str">
        <x:f>IF('MASTER_QUEUE'!$Y226="Ready",'MASTER_QUEUE'!E226,"")</x:f>
      </x:c>
      <x:c r="F226" s="30" t="str">
        <x:f>IF('MASTER_QUEUE'!$Y226="Ready",'MASTER_QUEUE'!F226,"")</x:f>
      </x:c>
      <x:c r="G226" s="30" t="str">
        <x:f>IF('MASTER_QUEUE'!$Y226="Ready",'MASTER_QUEUE'!G226,"")</x:f>
      </x:c>
      <x:c r="H226" s="99" t="str">
        <x:f>IF('MASTER_QUEUE'!$Y226="Ready",'MASTER_QUEUE'!H226,"")</x:f>
      </x:c>
    </x:row>
    <x:row r="227" ht="22" customHeight="1">
      <x:c r="A227" s="30" t="str">
        <x:f>IF('MASTER_QUEUE'!$Y227="Ready",'MASTER_QUEUE'!A227,"")</x:f>
      </x:c>
      <x:c r="B227" s="30" t="str">
        <x:f>IF('MASTER_QUEUE'!$Y227="Ready",'MASTER_QUEUE'!B227,"")</x:f>
      </x:c>
      <x:c r="C227" s="30" t="str">
        <x:f>IF('MASTER_QUEUE'!$Y227="Ready",'MASTER_QUEUE'!C227,"")</x:f>
      </x:c>
      <x:c r="D227" s="30" t="str">
        <x:f>IF('MASTER_QUEUE'!$Y227="Ready",'MASTER_QUEUE'!D227,"")</x:f>
      </x:c>
      <x:c r="E227" s="30" t="str">
        <x:f>IF('MASTER_QUEUE'!$Y227="Ready",'MASTER_QUEUE'!E227,"")</x:f>
      </x:c>
      <x:c r="F227" s="30" t="str">
        <x:f>IF('MASTER_QUEUE'!$Y227="Ready",'MASTER_QUEUE'!F227,"")</x:f>
      </x:c>
      <x:c r="G227" s="30" t="str">
        <x:f>IF('MASTER_QUEUE'!$Y227="Ready",'MASTER_QUEUE'!G227,"")</x:f>
      </x:c>
      <x:c r="H227" s="99" t="str">
        <x:f>IF('MASTER_QUEUE'!$Y227="Ready",'MASTER_QUEUE'!H227,"")</x:f>
      </x:c>
    </x:row>
    <x:row r="228" ht="22" customHeight="1">
      <x:c r="A228" s="30" t="str">
        <x:f>IF('MASTER_QUEUE'!$Y228="Ready",'MASTER_QUEUE'!A228,"")</x:f>
      </x:c>
      <x:c r="B228" s="30" t="str">
        <x:f>IF('MASTER_QUEUE'!$Y228="Ready",'MASTER_QUEUE'!B228,"")</x:f>
      </x:c>
      <x:c r="C228" s="30" t="str">
        <x:f>IF('MASTER_QUEUE'!$Y228="Ready",'MASTER_QUEUE'!C228,"")</x:f>
      </x:c>
      <x:c r="D228" s="30" t="str">
        <x:f>IF('MASTER_QUEUE'!$Y228="Ready",'MASTER_QUEUE'!D228,"")</x:f>
      </x:c>
      <x:c r="E228" s="30" t="str">
        <x:f>IF('MASTER_QUEUE'!$Y228="Ready",'MASTER_QUEUE'!E228,"")</x:f>
      </x:c>
      <x:c r="F228" s="30" t="str">
        <x:f>IF('MASTER_QUEUE'!$Y228="Ready",'MASTER_QUEUE'!F228,"")</x:f>
      </x:c>
      <x:c r="G228" s="30" t="str">
        <x:f>IF('MASTER_QUEUE'!$Y228="Ready",'MASTER_QUEUE'!G228,"")</x:f>
      </x:c>
      <x:c r="H228" s="99" t="str">
        <x:f>IF('MASTER_QUEUE'!$Y228="Ready",'MASTER_QUEUE'!H228,"")</x:f>
      </x:c>
    </x:row>
    <x:row r="229" ht="22" customHeight="1">
      <x:c r="A229" s="30" t="str">
        <x:f>IF('MASTER_QUEUE'!$Y229="Ready",'MASTER_QUEUE'!A229,"")</x:f>
      </x:c>
      <x:c r="B229" s="30" t="str">
        <x:f>IF('MASTER_QUEUE'!$Y229="Ready",'MASTER_QUEUE'!B229,"")</x:f>
      </x:c>
      <x:c r="C229" s="30" t="str">
        <x:f>IF('MASTER_QUEUE'!$Y229="Ready",'MASTER_QUEUE'!C229,"")</x:f>
      </x:c>
      <x:c r="D229" s="30" t="str">
        <x:f>IF('MASTER_QUEUE'!$Y229="Ready",'MASTER_QUEUE'!D229,"")</x:f>
      </x:c>
      <x:c r="E229" s="30" t="str">
        <x:f>IF('MASTER_QUEUE'!$Y229="Ready",'MASTER_QUEUE'!E229,"")</x:f>
      </x:c>
      <x:c r="F229" s="30" t="str">
        <x:f>IF('MASTER_QUEUE'!$Y229="Ready",'MASTER_QUEUE'!F229,"")</x:f>
      </x:c>
      <x:c r="G229" s="30" t="str">
        <x:f>IF('MASTER_QUEUE'!$Y229="Ready",'MASTER_QUEUE'!G229,"")</x:f>
      </x:c>
      <x:c r="H229" s="99" t="str">
        <x:f>IF('MASTER_QUEUE'!$Y229="Ready",'MASTER_QUEUE'!H229,"")</x:f>
      </x:c>
    </x:row>
    <x:row r="230" ht="22" customHeight="1">
      <x:c r="A230" s="31" t="str">
        <x:f>IF('MASTER_QUEUE'!$Y230="Ready",'MASTER_QUEUE'!A230,"")</x:f>
      </x:c>
      <x:c r="B230" s="31" t="str">
        <x:f>IF('MASTER_QUEUE'!$Y230="Ready",'MASTER_QUEUE'!B230,"")</x:f>
      </x:c>
      <x:c r="C230" s="31" t="str">
        <x:f>IF('MASTER_QUEUE'!$Y230="Ready",'MASTER_QUEUE'!C230,"")</x:f>
      </x:c>
      <x:c r="D230" s="31" t="str">
        <x:f>IF('MASTER_QUEUE'!$Y230="Ready",'MASTER_QUEUE'!D230,"")</x:f>
      </x:c>
      <x:c r="E230" s="31" t="str">
        <x:f>IF('MASTER_QUEUE'!$Y230="Ready",'MASTER_QUEUE'!E230,"")</x:f>
      </x:c>
      <x:c r="F230" s="31" t="str">
        <x:f>IF('MASTER_QUEUE'!$Y230="Ready",'MASTER_QUEUE'!F230,"")</x:f>
      </x:c>
      <x:c r="G230" s="31" t="str">
        <x:f>IF('MASTER_QUEUE'!$Y230="Ready",'MASTER_QUEUE'!G230,"")</x:f>
      </x:c>
      <x:c r="H230" s="100" t="str">
        <x:f>IF('MASTER_QUEUE'!$Y230="Ready",'MASTER_QUEUE'!H230,"")</x:f>
      </x:c>
    </x:row>
  </x:sheetData>
  <x:pageMargins left="0.7" right="0.7" top="0.75" bottom="0.75" header="0.3" footer="0.3"/>
  <x:tableParts count="1">
    <x:tablePart xmlns:r="http://schemas.openxmlformats.org/officeDocument/2006/relationships" r:id="R3a27e9c3f5084486"/>
  </x:tableParts>
</x:worksheet>
</file>